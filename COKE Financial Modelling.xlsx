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c8b37398c9ac79c0/Desktop/"/>
    </mc:Choice>
  </mc:AlternateContent>
  <xr:revisionPtr revIDLastSave="118" documentId="13_ncr:1_{1F561C9E-C111-48D2-9DBD-2FB6292BBC68}" xr6:coauthVersionLast="47" xr6:coauthVersionMax="47" xr10:uidLastSave="{FAF78C23-7CFE-4D0A-9554-A199A7F0774E}"/>
  <bookViews>
    <workbookView xWindow="-108" yWindow="-108" windowWidth="23256" windowHeight="12456" firstSheet="11" activeTab="16" xr2:uid="{00000000-000D-0000-FFFF-FFFF00000000}"/>
  </bookViews>
  <sheets>
    <sheet name="Dashboard" sheetId="1" r:id="rId1"/>
    <sheet name="Income Statement" sheetId="4" r:id="rId2"/>
    <sheet name="Sheet3" sheetId="29" r:id="rId3"/>
    <sheet name="Balance Sheet" sheetId="7" r:id="rId4"/>
    <sheet name="Cash Flow Statement" sheetId="5" r:id="rId5"/>
    <sheet name="FAM" sheetId="12" r:id="rId6"/>
    <sheet name="Equity Shares" sheetId="15" r:id="rId7"/>
    <sheet name="DRS" sheetId="16" r:id="rId8"/>
    <sheet name="Revenue Driver" sheetId="10" r:id="rId9"/>
    <sheet name="Sheet1" sheetId="27" r:id="rId10"/>
    <sheet name="BETA" sheetId="18" r:id="rId11"/>
    <sheet name="Working Capital" sheetId="19" r:id="rId12"/>
    <sheet name="WACC" sheetId="20" r:id="rId13"/>
    <sheet name="Ratios" sheetId="21" r:id="rId14"/>
    <sheet name="Sheet2" sheetId="28" r:id="rId15"/>
    <sheet name="Dupont Analysis" sheetId="22" r:id="rId16"/>
    <sheet name="DCF" sheetId="23" r:id="rId17"/>
    <sheet name="RV" sheetId="24" r:id="rId18"/>
    <sheet name="Cost Driver" sheetId="25" r:id="rId19"/>
    <sheet name="Assumptions" sheetId="26" r:id="rId20"/>
  </sheets>
  <definedNames>
    <definedName name="Company_name">Dashboard!$D$4</definedName>
    <definedName name="currency">Dashboard!$D$6</definedName>
    <definedName name="LHY">Dashboard!$D$8</definedName>
    <definedName name="ticker">Dashboard!$D$10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" i="29" l="1"/>
  <c r="H5" i="29"/>
  <c r="I5" i="29" s="1"/>
  <c r="J5" i="29" s="1"/>
  <c r="H8" i="28"/>
  <c r="I8" i="28" s="1"/>
  <c r="J8" i="28" s="1"/>
  <c r="G8" i="28"/>
  <c r="H4" i="28"/>
  <c r="I4" i="28" s="1"/>
  <c r="J4" i="28" s="1"/>
  <c r="G4" i="28" l="1"/>
  <c r="E5" i="27"/>
  <c r="F5" i="27" s="1"/>
  <c r="G5" i="27" s="1"/>
  <c r="I21" i="20"/>
  <c r="D25" i="4"/>
  <c r="E25" i="4"/>
  <c r="F25" i="4"/>
  <c r="D22" i="4"/>
  <c r="E22" i="4"/>
  <c r="F22" i="4"/>
  <c r="E30" i="19"/>
  <c r="F30" i="19"/>
  <c r="G30" i="19"/>
  <c r="H30" i="19"/>
  <c r="I30" i="19"/>
  <c r="J30" i="19"/>
  <c r="D5" i="27" l="1"/>
  <c r="G16" i="25"/>
  <c r="H16" i="25"/>
  <c r="I16" i="25"/>
  <c r="G12" i="25"/>
  <c r="G6" i="4"/>
  <c r="D32" i="4" l="1"/>
  <c r="E32" i="4"/>
  <c r="F32" i="4"/>
  <c r="D29" i="4"/>
  <c r="E29" i="4"/>
  <c r="F29" i="4"/>
  <c r="F18" i="24" s="1"/>
  <c r="I27" i="24"/>
  <c r="I26" i="24"/>
  <c r="F22" i="24"/>
  <c r="D60" i="21"/>
  <c r="E60" i="21"/>
  <c r="F60" i="21"/>
  <c r="G60" i="21"/>
  <c r="H60" i="21"/>
  <c r="I60" i="21"/>
  <c r="D55" i="21"/>
  <c r="E55" i="21"/>
  <c r="F55" i="21"/>
  <c r="D51" i="21"/>
  <c r="E51" i="21"/>
  <c r="F51" i="21"/>
  <c r="D47" i="21"/>
  <c r="G36" i="23"/>
  <c r="D36" i="4"/>
  <c r="E36" i="4"/>
  <c r="F36" i="4"/>
  <c r="G36" i="4"/>
  <c r="H36" i="4"/>
  <c r="I36" i="4"/>
  <c r="D34" i="4"/>
  <c r="E34" i="4"/>
  <c r="F34" i="4"/>
  <c r="G34" i="4"/>
  <c r="H34" i="4"/>
  <c r="I34" i="4"/>
  <c r="E34" i="24"/>
  <c r="F26" i="24"/>
  <c r="E27" i="24"/>
  <c r="E26" i="24"/>
  <c r="G26" i="24" s="1"/>
  <c r="H26" i="24" s="1"/>
  <c r="E23" i="24"/>
  <c r="E22" i="24"/>
  <c r="E19" i="24"/>
  <c r="E18" i="24"/>
  <c r="D14" i="24"/>
  <c r="E14" i="24"/>
  <c r="F14" i="24"/>
  <c r="G14" i="24"/>
  <c r="H14" i="24"/>
  <c r="I14" i="24"/>
  <c r="D13" i="24"/>
  <c r="E13" i="24"/>
  <c r="F13" i="24"/>
  <c r="G13" i="24"/>
  <c r="H13" i="24"/>
  <c r="I13" i="24"/>
  <c r="G18" i="24" l="1"/>
  <c r="G22" i="24"/>
  <c r="J26" i="24"/>
  <c r="G23" i="4"/>
  <c r="H23" i="4"/>
  <c r="I23" i="4"/>
  <c r="G26" i="4"/>
  <c r="H26" i="4"/>
  <c r="I26" i="4"/>
  <c r="G30" i="4"/>
  <c r="H30" i="4"/>
  <c r="I30" i="4"/>
  <c r="G33" i="4"/>
  <c r="H33" i="4"/>
  <c r="I33" i="4"/>
  <c r="G33" i="23" l="1"/>
  <c r="G32" i="23"/>
  <c r="G29" i="23"/>
  <c r="H24" i="23"/>
  <c r="I24" i="23"/>
  <c r="J24" i="23" s="1"/>
  <c r="K24" i="23" s="1"/>
  <c r="L24" i="23" s="1"/>
  <c r="M24" i="23" s="1"/>
  <c r="N24" i="23" s="1"/>
  <c r="O24" i="23" s="1"/>
  <c r="P24" i="23" s="1"/>
  <c r="Q24" i="23" s="1"/>
  <c r="R24" i="23" s="1"/>
  <c r="D18" i="23"/>
  <c r="E18" i="23"/>
  <c r="F18" i="23"/>
  <c r="D15" i="23"/>
  <c r="E15" i="23"/>
  <c r="F15" i="23"/>
  <c r="G15" i="23"/>
  <c r="H15" i="23"/>
  <c r="I15" i="23"/>
  <c r="D14" i="23"/>
  <c r="E14" i="23"/>
  <c r="F14" i="23"/>
  <c r="G14" i="23"/>
  <c r="H14" i="23"/>
  <c r="I14" i="23"/>
  <c r="D12" i="23"/>
  <c r="D13" i="23" s="1"/>
  <c r="D16" i="23" s="1"/>
  <c r="E12" i="23"/>
  <c r="E13" i="23" s="1"/>
  <c r="E16" i="23" s="1"/>
  <c r="F12" i="23"/>
  <c r="F13" i="23" s="1"/>
  <c r="F16" i="23" s="1"/>
  <c r="G12" i="23"/>
  <c r="H12" i="23"/>
  <c r="I12" i="23"/>
  <c r="D11" i="23"/>
  <c r="E11" i="23"/>
  <c r="F11" i="23"/>
  <c r="D10" i="23"/>
  <c r="E10" i="23"/>
  <c r="F10" i="23"/>
  <c r="D9" i="23"/>
  <c r="E9" i="23"/>
  <c r="F9" i="23"/>
  <c r="D8" i="23"/>
  <c r="E8" i="23"/>
  <c r="F8" i="23"/>
  <c r="D7" i="23"/>
  <c r="E7" i="23"/>
  <c r="F7" i="23"/>
  <c r="D19" i="21"/>
  <c r="E19" i="21"/>
  <c r="F19" i="21"/>
  <c r="D73" i="21"/>
  <c r="D67" i="21"/>
  <c r="E67" i="21"/>
  <c r="F67" i="21"/>
  <c r="D71" i="21"/>
  <c r="E71" i="21"/>
  <c r="F71" i="21"/>
  <c r="D70" i="21"/>
  <c r="E70" i="21"/>
  <c r="F70" i="21"/>
  <c r="D69" i="21"/>
  <c r="E69" i="21"/>
  <c r="F69" i="21"/>
  <c r="D57" i="21"/>
  <c r="D72" i="21" s="1"/>
  <c r="E57" i="21"/>
  <c r="E73" i="21" s="1"/>
  <c r="F57" i="21"/>
  <c r="F73" i="21" s="1"/>
  <c r="D65" i="21"/>
  <c r="E65" i="21"/>
  <c r="F65" i="21"/>
  <c r="D64" i="21"/>
  <c r="E64" i="21"/>
  <c r="F64" i="21"/>
  <c r="D63" i="21"/>
  <c r="E63" i="21"/>
  <c r="F63" i="21"/>
  <c r="G63" i="21"/>
  <c r="H63" i="21"/>
  <c r="I63" i="21"/>
  <c r="D62" i="21"/>
  <c r="E62" i="21"/>
  <c r="F62" i="21"/>
  <c r="G62" i="21"/>
  <c r="H62" i="21"/>
  <c r="I62" i="21"/>
  <c r="D61" i="21"/>
  <c r="E61" i="21"/>
  <c r="F61" i="21"/>
  <c r="G61" i="21"/>
  <c r="H61" i="21"/>
  <c r="I61" i="21"/>
  <c r="D58" i="21"/>
  <c r="E58" i="21"/>
  <c r="F58" i="21"/>
  <c r="D53" i="21"/>
  <c r="E53" i="21"/>
  <c r="F53" i="21"/>
  <c r="D49" i="21"/>
  <c r="E49" i="21"/>
  <c r="F49" i="21"/>
  <c r="D45" i="21"/>
  <c r="E45" i="21"/>
  <c r="F45" i="21"/>
  <c r="F68" i="21" l="1"/>
  <c r="E68" i="21"/>
  <c r="D68" i="21"/>
  <c r="F72" i="21"/>
  <c r="E72" i="21"/>
  <c r="D42" i="21" l="1"/>
  <c r="E42" i="21"/>
  <c r="F42" i="21"/>
  <c r="D41" i="21"/>
  <c r="E41" i="21"/>
  <c r="F41" i="21"/>
  <c r="G58" i="21"/>
  <c r="H58" i="21"/>
  <c r="I58" i="21"/>
  <c r="G40" i="5" l="1"/>
  <c r="H40" i="5"/>
  <c r="I40" i="5"/>
  <c r="G38" i="5"/>
  <c r="H38" i="5"/>
  <c r="I38" i="5"/>
  <c r="H45" i="7"/>
  <c r="I45" i="7"/>
  <c r="J45" i="7"/>
  <c r="E62" i="16"/>
  <c r="E64" i="16" s="1"/>
  <c r="F62" i="16"/>
  <c r="G62" i="16"/>
  <c r="H62" i="16"/>
  <c r="I62" i="16"/>
  <c r="J62" i="16"/>
  <c r="I25" i="16"/>
  <c r="H17" i="16"/>
  <c r="H18" i="16" s="1"/>
  <c r="H52" i="16"/>
  <c r="I52" i="16" s="1"/>
  <c r="J52" i="16" s="1"/>
  <c r="H44" i="16"/>
  <c r="I44" i="16"/>
  <c r="J44" i="16"/>
  <c r="H36" i="16"/>
  <c r="I36" i="16"/>
  <c r="J36" i="16" s="1"/>
  <c r="H28" i="16"/>
  <c r="I28" i="16" s="1"/>
  <c r="J28" i="16" s="1"/>
  <c r="H20" i="16"/>
  <c r="I20" i="16" s="1"/>
  <c r="J20" i="16" s="1"/>
  <c r="H12" i="16"/>
  <c r="I12" i="16"/>
  <c r="J12" i="16" s="1"/>
  <c r="F64" i="16"/>
  <c r="G64" i="16"/>
  <c r="E68" i="16"/>
  <c r="F68" i="16"/>
  <c r="G68" i="16"/>
  <c r="D66" i="16"/>
  <c r="E66" i="16"/>
  <c r="F66" i="16"/>
  <c r="G66" i="16"/>
  <c r="E63" i="16"/>
  <c r="F63" i="16"/>
  <c r="G63" i="16"/>
  <c r="H63" i="16"/>
  <c r="I63" i="16"/>
  <c r="J63" i="16"/>
  <c r="H58" i="16"/>
  <c r="I58" i="16"/>
  <c r="J58" i="16"/>
  <c r="D58" i="16"/>
  <c r="E58" i="16"/>
  <c r="F58" i="16"/>
  <c r="G58" i="16"/>
  <c r="H55" i="16"/>
  <c r="I55" i="16" s="1"/>
  <c r="J55" i="16" s="1"/>
  <c r="H54" i="16"/>
  <c r="H50" i="16"/>
  <c r="I47" i="16" s="1"/>
  <c r="I50" i="16" s="1"/>
  <c r="H34" i="16"/>
  <c r="I31" i="16" s="1"/>
  <c r="I34" i="16" s="1"/>
  <c r="H10" i="16"/>
  <c r="H51" i="16"/>
  <c r="G51" i="16"/>
  <c r="F51" i="16"/>
  <c r="E51" i="16"/>
  <c r="D51" i="16"/>
  <c r="G43" i="16"/>
  <c r="F43" i="16"/>
  <c r="E43" i="16"/>
  <c r="D43" i="16"/>
  <c r="H35" i="16"/>
  <c r="G35" i="16"/>
  <c r="F35" i="16"/>
  <c r="E35" i="16"/>
  <c r="D35" i="16"/>
  <c r="G27" i="16"/>
  <c r="F27" i="16"/>
  <c r="E27" i="16"/>
  <c r="D27" i="16"/>
  <c r="G19" i="16"/>
  <c r="F19" i="16"/>
  <c r="E19" i="16"/>
  <c r="D19" i="16"/>
  <c r="D11" i="16"/>
  <c r="E11" i="16"/>
  <c r="F11" i="16"/>
  <c r="G11" i="16"/>
  <c r="H11" i="16"/>
  <c r="G49" i="16"/>
  <c r="F49" i="16"/>
  <c r="E49" i="16"/>
  <c r="H47" i="16"/>
  <c r="G47" i="16"/>
  <c r="G48" i="16" s="1"/>
  <c r="F47" i="16"/>
  <c r="F48" i="16" s="1"/>
  <c r="E47" i="16"/>
  <c r="E48" i="16" s="1"/>
  <c r="H39" i="16"/>
  <c r="H42" i="16" s="1"/>
  <c r="G39" i="16"/>
  <c r="G41" i="16" s="1"/>
  <c r="F39" i="16"/>
  <c r="F41" i="16" s="1"/>
  <c r="E39" i="16"/>
  <c r="E41" i="16" s="1"/>
  <c r="G33" i="16"/>
  <c r="H31" i="16"/>
  <c r="G31" i="16"/>
  <c r="G32" i="16" s="1"/>
  <c r="F31" i="16"/>
  <c r="F33" i="16" s="1"/>
  <c r="E31" i="16"/>
  <c r="E33" i="16" s="1"/>
  <c r="H23" i="16"/>
  <c r="H26" i="16" s="1"/>
  <c r="G23" i="16"/>
  <c r="G24" i="16" s="1"/>
  <c r="F23" i="16"/>
  <c r="F25" i="16" s="1"/>
  <c r="E23" i="16"/>
  <c r="E25" i="16" s="1"/>
  <c r="G17" i="16"/>
  <c r="F17" i="16"/>
  <c r="E17" i="16"/>
  <c r="G16" i="16"/>
  <c r="E16" i="16"/>
  <c r="H15" i="16"/>
  <c r="G15" i="16"/>
  <c r="F15" i="16"/>
  <c r="F16" i="16" s="1"/>
  <c r="E15" i="16"/>
  <c r="F9" i="16"/>
  <c r="G9" i="16"/>
  <c r="F8" i="16"/>
  <c r="G8" i="16"/>
  <c r="E7" i="16"/>
  <c r="E9" i="16" s="1"/>
  <c r="F7" i="16"/>
  <c r="G7" i="16"/>
  <c r="H7" i="16"/>
  <c r="I7" i="16"/>
  <c r="I10" i="16" s="1"/>
  <c r="I51" i="16" l="1"/>
  <c r="H19" i="16"/>
  <c r="I15" i="16"/>
  <c r="I18" i="16" s="1"/>
  <c r="G25" i="16"/>
  <c r="I23" i="16"/>
  <c r="I26" i="16" s="1"/>
  <c r="J23" i="16" s="1"/>
  <c r="J26" i="16" s="1"/>
  <c r="J27" i="16" s="1"/>
  <c r="H27" i="16"/>
  <c r="H43" i="16"/>
  <c r="I39" i="16"/>
  <c r="I42" i="16" s="1"/>
  <c r="H56" i="16"/>
  <c r="E8" i="16"/>
  <c r="I54" i="16"/>
  <c r="J47" i="16"/>
  <c r="J50" i="16" s="1"/>
  <c r="J51" i="16" s="1"/>
  <c r="J39" i="16"/>
  <c r="J42" i="16" s="1"/>
  <c r="J43" i="16" s="1"/>
  <c r="I43" i="16"/>
  <c r="I35" i="16"/>
  <c r="J31" i="16"/>
  <c r="J34" i="16" s="1"/>
  <c r="J35" i="16" s="1"/>
  <c r="I27" i="16"/>
  <c r="J15" i="16"/>
  <c r="J18" i="16" s="1"/>
  <c r="J19" i="16" s="1"/>
  <c r="I19" i="16"/>
  <c r="J7" i="16"/>
  <c r="J10" i="16" s="1"/>
  <c r="J11" i="16" s="1"/>
  <c r="I11" i="16"/>
  <c r="G40" i="16"/>
  <c r="E40" i="16"/>
  <c r="F40" i="16"/>
  <c r="E32" i="16"/>
  <c r="F32" i="16"/>
  <c r="E24" i="16"/>
  <c r="F24" i="16"/>
  <c r="H57" i="16" l="1"/>
  <c r="H64" i="16" s="1"/>
  <c r="I66" i="16"/>
  <c r="J66" i="16"/>
  <c r="H66" i="16"/>
  <c r="J54" i="16"/>
  <c r="J56" i="16" s="1"/>
  <c r="I56" i="16"/>
  <c r="I57" i="16" l="1"/>
  <c r="I64" i="16" s="1"/>
  <c r="J57" i="16"/>
  <c r="J64" i="16" s="1"/>
  <c r="H60" i="16"/>
  <c r="H68" i="16" s="1"/>
  <c r="J60" i="16" l="1"/>
  <c r="I60" i="16"/>
  <c r="I68" i="16" s="1"/>
  <c r="J68" i="16" l="1"/>
  <c r="D59" i="21" l="1"/>
  <c r="E59" i="21"/>
  <c r="F59" i="21"/>
  <c r="G59" i="21"/>
  <c r="H59" i="21"/>
  <c r="I59" i="21"/>
  <c r="D54" i="21"/>
  <c r="E54" i="21"/>
  <c r="F54" i="21"/>
  <c r="G54" i="21"/>
  <c r="H54" i="21"/>
  <c r="I54" i="21"/>
  <c r="D50" i="21"/>
  <c r="E50" i="21"/>
  <c r="F50" i="21"/>
  <c r="G50" i="21"/>
  <c r="H50" i="21"/>
  <c r="I50" i="21"/>
  <c r="G46" i="21"/>
  <c r="H46" i="21"/>
  <c r="I46" i="21"/>
  <c r="F46" i="21" l="1"/>
  <c r="E46" i="21"/>
  <c r="D46" i="21"/>
  <c r="G31" i="26"/>
  <c r="G30" i="26"/>
  <c r="G13" i="26"/>
  <c r="H13" i="26" s="1"/>
  <c r="I13" i="26" s="1"/>
  <c r="D38" i="26"/>
  <c r="E38" i="26"/>
  <c r="F38" i="26"/>
  <c r="D37" i="26"/>
  <c r="E37" i="26"/>
  <c r="F37" i="26"/>
  <c r="D36" i="26"/>
  <c r="E36" i="26"/>
  <c r="F36" i="26"/>
  <c r="D35" i="26"/>
  <c r="E35" i="26"/>
  <c r="F35" i="26"/>
  <c r="G35" i="26" s="1"/>
  <c r="H35" i="26" s="1"/>
  <c r="I35" i="26" s="1"/>
  <c r="D34" i="26"/>
  <c r="E34" i="26"/>
  <c r="F34" i="26"/>
  <c r="G34" i="26" s="1"/>
  <c r="H34" i="26" s="1"/>
  <c r="I34" i="26" s="1"/>
  <c r="D33" i="26"/>
  <c r="E33" i="26"/>
  <c r="F33" i="26"/>
  <c r="D32" i="26"/>
  <c r="E32" i="26"/>
  <c r="G32" i="26" s="1"/>
  <c r="F32" i="26"/>
  <c r="D31" i="26"/>
  <c r="E31" i="26"/>
  <c r="F31" i="26"/>
  <c r="D30" i="26"/>
  <c r="E30" i="26"/>
  <c r="F30" i="26"/>
  <c r="D27" i="26"/>
  <c r="E27" i="26"/>
  <c r="F27" i="26"/>
  <c r="D26" i="26"/>
  <c r="E26" i="26"/>
  <c r="F26" i="26"/>
  <c r="D25" i="26"/>
  <c r="E25" i="26"/>
  <c r="F25" i="26"/>
  <c r="D23" i="26"/>
  <c r="E23" i="26"/>
  <c r="F23" i="26"/>
  <c r="D22" i="26"/>
  <c r="G22" i="26" s="1"/>
  <c r="E22" i="26"/>
  <c r="F22" i="26"/>
  <c r="D21" i="26"/>
  <c r="E21" i="26"/>
  <c r="F21" i="26"/>
  <c r="D20" i="26"/>
  <c r="E20" i="26"/>
  <c r="G20" i="26" s="1"/>
  <c r="F20" i="26"/>
  <c r="D19" i="26"/>
  <c r="E19" i="26"/>
  <c r="F19" i="26"/>
  <c r="D18" i="26"/>
  <c r="E18" i="26"/>
  <c r="F18" i="26"/>
  <c r="D17" i="26"/>
  <c r="E17" i="26"/>
  <c r="F17" i="26"/>
  <c r="D13" i="26"/>
  <c r="E13" i="26"/>
  <c r="F13" i="26"/>
  <c r="D12" i="26"/>
  <c r="E12" i="26"/>
  <c r="G12" i="26" s="1"/>
  <c r="F12" i="26"/>
  <c r="D11" i="26"/>
  <c r="E11" i="26"/>
  <c r="F11" i="26"/>
  <c r="G11" i="26" s="1"/>
  <c r="H11" i="26" s="1"/>
  <c r="I11" i="26" s="1"/>
  <c r="D10" i="26"/>
  <c r="E10" i="26"/>
  <c r="F10" i="26"/>
  <c r="D9" i="26"/>
  <c r="E9" i="26"/>
  <c r="F9" i="26"/>
  <c r="G15" i="25"/>
  <c r="H15" i="25"/>
  <c r="I15" i="25"/>
  <c r="D14" i="25"/>
  <c r="E14" i="25"/>
  <c r="F14" i="25"/>
  <c r="D9" i="25"/>
  <c r="E9" i="25"/>
  <c r="H12" i="25" s="1"/>
  <c r="F9" i="25"/>
  <c r="G19" i="26" l="1"/>
  <c r="I12" i="25"/>
  <c r="G11" i="25"/>
  <c r="H11" i="25"/>
  <c r="I11" i="25"/>
  <c r="G9" i="26"/>
  <c r="I9" i="26" s="1"/>
  <c r="I10" i="25"/>
  <c r="G10" i="25"/>
  <c r="G23" i="26"/>
  <c r="I23" i="26" s="1"/>
  <c r="H9" i="26"/>
  <c r="G25" i="26"/>
  <c r="I25" i="26" s="1"/>
  <c r="I21" i="26"/>
  <c r="G17" i="26"/>
  <c r="G38" i="26"/>
  <c r="H10" i="25"/>
  <c r="G21" i="26"/>
  <c r="H21" i="26"/>
  <c r="G10" i="26"/>
  <c r="G26" i="26"/>
  <c r="H26" i="26" s="1"/>
  <c r="I26" i="26" s="1"/>
  <c r="G36" i="26"/>
  <c r="G17" i="25"/>
  <c r="H17" i="25"/>
  <c r="I17" i="25"/>
  <c r="G18" i="26"/>
  <c r="H18" i="26" s="1"/>
  <c r="G27" i="26"/>
  <c r="G33" i="26"/>
  <c r="G37" i="26"/>
  <c r="H37" i="26" s="1"/>
  <c r="I37" i="26" s="1"/>
  <c r="H31" i="26"/>
  <c r="I31" i="26" s="1"/>
  <c r="H32" i="26"/>
  <c r="I32" i="26" s="1"/>
  <c r="H33" i="26"/>
  <c r="I33" i="26" s="1"/>
  <c r="H30" i="26"/>
  <c r="I30" i="26" s="1"/>
  <c r="H38" i="26"/>
  <c r="I38" i="26" s="1"/>
  <c r="H19" i="26"/>
  <c r="H23" i="26"/>
  <c r="H20" i="26"/>
  <c r="I20" i="26" s="1"/>
  <c r="H25" i="26"/>
  <c r="H17" i="26"/>
  <c r="H22" i="26"/>
  <c r="H27" i="26"/>
  <c r="I27" i="26" s="1"/>
  <c r="H12" i="26"/>
  <c r="H10" i="26"/>
  <c r="H36" i="26" l="1"/>
  <c r="I36" i="26" s="1"/>
  <c r="I22" i="26"/>
  <c r="I12" i="26"/>
  <c r="I18" i="26"/>
  <c r="I17" i="26"/>
  <c r="I10" i="26"/>
  <c r="I19" i="26"/>
  <c r="G18" i="4"/>
  <c r="H18" i="4" s="1"/>
  <c r="I18" i="4" s="1"/>
  <c r="D18" i="4"/>
  <c r="E18" i="4"/>
  <c r="F18" i="4"/>
  <c r="F4" i="26"/>
  <c r="G4" i="26" s="1"/>
  <c r="H4" i="26" s="1"/>
  <c r="I4" i="26" s="1"/>
  <c r="B4" i="26"/>
  <c r="B2" i="26"/>
  <c r="F4" i="25"/>
  <c r="E4" i="25" s="1"/>
  <c r="D4" i="25" s="1"/>
  <c r="B4" i="25"/>
  <c r="B2" i="25"/>
  <c r="E4" i="26" l="1"/>
  <c r="D4" i="26" s="1"/>
  <c r="G4" i="25"/>
  <c r="H4" i="25" s="1"/>
  <c r="I4" i="25" s="1"/>
  <c r="B4" i="24" l="1"/>
  <c r="B2" i="24"/>
  <c r="F4" i="23" l="1"/>
  <c r="E4" i="23" s="1"/>
  <c r="D4" i="23" s="1"/>
  <c r="B4" i="23"/>
  <c r="B2" i="23"/>
  <c r="D40" i="21"/>
  <c r="E40" i="21"/>
  <c r="F40" i="21"/>
  <c r="D39" i="21"/>
  <c r="E39" i="21"/>
  <c r="F39" i="21"/>
  <c r="D34" i="21"/>
  <c r="E34" i="21"/>
  <c r="F34" i="21"/>
  <c r="D32" i="21"/>
  <c r="D33" i="21" s="1"/>
  <c r="E32" i="21"/>
  <c r="E33" i="21" s="1"/>
  <c r="F32" i="21"/>
  <c r="F33" i="21" s="1"/>
  <c r="D30" i="21"/>
  <c r="D31" i="21" s="1"/>
  <c r="E30" i="21"/>
  <c r="E31" i="21" s="1"/>
  <c r="F30" i="21"/>
  <c r="F31" i="21" s="1"/>
  <c r="D28" i="21"/>
  <c r="D29" i="21" s="1"/>
  <c r="D36" i="21" s="1"/>
  <c r="E28" i="21"/>
  <c r="E29" i="21" s="1"/>
  <c r="E36" i="21" s="1"/>
  <c r="F28" i="21"/>
  <c r="F29" i="21" s="1"/>
  <c r="F36" i="21" s="1"/>
  <c r="D25" i="21"/>
  <c r="E25" i="21"/>
  <c r="F25" i="21"/>
  <c r="D24" i="21"/>
  <c r="E24" i="21"/>
  <c r="F24" i="21"/>
  <c r="D23" i="21"/>
  <c r="E23" i="21"/>
  <c r="F23" i="21"/>
  <c r="D20" i="21"/>
  <c r="E20" i="21"/>
  <c r="F20" i="21"/>
  <c r="D18" i="21"/>
  <c r="E18" i="21"/>
  <c r="F18" i="21"/>
  <c r="D17" i="21"/>
  <c r="E17" i="21"/>
  <c r="F17" i="21"/>
  <c r="D14" i="21"/>
  <c r="E14" i="21"/>
  <c r="F14" i="21"/>
  <c r="D13" i="21"/>
  <c r="E13" i="21"/>
  <c r="F13" i="21"/>
  <c r="D12" i="21"/>
  <c r="E12" i="21"/>
  <c r="F12" i="21"/>
  <c r="E9" i="21"/>
  <c r="F9" i="21"/>
  <c r="E8" i="21"/>
  <c r="F8" i="21"/>
  <c r="G4" i="23" l="1"/>
  <c r="H4" i="23" s="1"/>
  <c r="I4" i="23" s="1"/>
  <c r="J4" i="23" s="1"/>
  <c r="K4" i="23" s="1"/>
  <c r="L4" i="23" s="1"/>
  <c r="M4" i="23" s="1"/>
  <c r="N4" i="23" s="1"/>
  <c r="O4" i="23" s="1"/>
  <c r="P4" i="23" s="1"/>
  <c r="Q4" i="23" s="1"/>
  <c r="R4" i="23" s="1"/>
  <c r="E6" i="22" l="1"/>
  <c r="F6" i="22"/>
  <c r="G6" i="22"/>
  <c r="G44" i="22" l="1"/>
  <c r="F44" i="22"/>
  <c r="E44" i="22"/>
  <c r="G32" i="22"/>
  <c r="F32" i="22"/>
  <c r="G20" i="22"/>
  <c r="F20" i="22"/>
  <c r="E20" i="22"/>
  <c r="E46" i="22"/>
  <c r="F46" i="22"/>
  <c r="G46" i="22"/>
  <c r="E45" i="22"/>
  <c r="F45" i="22"/>
  <c r="G45" i="22"/>
  <c r="E42" i="22"/>
  <c r="F42" i="22"/>
  <c r="G42" i="22"/>
  <c r="E41" i="22"/>
  <c r="E40" i="22" s="1"/>
  <c r="F41" i="22"/>
  <c r="F40" i="22" s="1"/>
  <c r="G41" i="22"/>
  <c r="G40" i="22" s="1"/>
  <c r="E38" i="22"/>
  <c r="F38" i="22"/>
  <c r="G38" i="22"/>
  <c r="E37" i="22"/>
  <c r="E36" i="22" s="1"/>
  <c r="F37" i="22"/>
  <c r="F36" i="22" s="1"/>
  <c r="G37" i="22"/>
  <c r="G36" i="22" s="1"/>
  <c r="E34" i="22"/>
  <c r="F34" i="22"/>
  <c r="G34" i="22"/>
  <c r="E33" i="22"/>
  <c r="E32" i="22" s="1"/>
  <c r="F33" i="22"/>
  <c r="G33" i="22"/>
  <c r="E30" i="22"/>
  <c r="F30" i="22"/>
  <c r="G30" i="22"/>
  <c r="E29" i="22"/>
  <c r="E28" i="22" s="1"/>
  <c r="F29" i="22"/>
  <c r="F28" i="22" s="1"/>
  <c r="G29" i="22"/>
  <c r="G28" i="22" s="1"/>
  <c r="E22" i="22"/>
  <c r="F22" i="22"/>
  <c r="G22" i="22"/>
  <c r="E21" i="22"/>
  <c r="F21" i="22"/>
  <c r="G21" i="22"/>
  <c r="E18" i="22"/>
  <c r="F18" i="22"/>
  <c r="G18" i="22"/>
  <c r="E17" i="22"/>
  <c r="E16" i="22" s="1"/>
  <c r="F17" i="22"/>
  <c r="F16" i="22" s="1"/>
  <c r="G17" i="22"/>
  <c r="G16" i="22" s="1"/>
  <c r="E14" i="22"/>
  <c r="F14" i="22"/>
  <c r="G14" i="22"/>
  <c r="E13" i="22"/>
  <c r="E12" i="22" s="1"/>
  <c r="E10" i="22" s="1"/>
  <c r="F13" i="22"/>
  <c r="F12" i="22" s="1"/>
  <c r="F10" i="22" s="1"/>
  <c r="G13" i="22"/>
  <c r="G12" i="22" s="1"/>
  <c r="G10" i="22" s="1"/>
  <c r="G4" i="22"/>
  <c r="H4" i="22" s="1"/>
  <c r="I4" i="22" s="1"/>
  <c r="J4" i="22" s="1"/>
  <c r="B4" i="22"/>
  <c r="B2" i="22"/>
  <c r="F4" i="21"/>
  <c r="G4" i="21" s="1"/>
  <c r="H4" i="21" s="1"/>
  <c r="I4" i="21" s="1"/>
  <c r="B4" i="21"/>
  <c r="B2" i="21"/>
  <c r="I19" i="20"/>
  <c r="D18" i="20"/>
  <c r="K13" i="20"/>
  <c r="K7" i="20"/>
  <c r="K12" i="20" s="1"/>
  <c r="J8" i="20"/>
  <c r="J9" i="20"/>
  <c r="J10" i="20"/>
  <c r="J11" i="20"/>
  <c r="I8" i="20"/>
  <c r="L8" i="20" s="1"/>
  <c r="I9" i="20"/>
  <c r="L9" i="20" s="1"/>
  <c r="I10" i="20"/>
  <c r="L10" i="20" s="1"/>
  <c r="I11" i="20"/>
  <c r="L11" i="20" s="1"/>
  <c r="G7" i="20"/>
  <c r="G12" i="20" s="1"/>
  <c r="F7" i="20"/>
  <c r="D17" i="20" s="1"/>
  <c r="D19" i="20" s="1"/>
  <c r="I24" i="20" s="1"/>
  <c r="B4" i="20"/>
  <c r="B2" i="20"/>
  <c r="D28" i="19"/>
  <c r="E28" i="19"/>
  <c r="F28" i="19"/>
  <c r="G28" i="19"/>
  <c r="H28" i="19"/>
  <c r="I28" i="19"/>
  <c r="J28" i="19"/>
  <c r="E26" i="19"/>
  <c r="F26" i="19"/>
  <c r="G26" i="19"/>
  <c r="H26" i="19"/>
  <c r="I26" i="19"/>
  <c r="J26" i="19"/>
  <c r="E16" i="19"/>
  <c r="F16" i="19"/>
  <c r="G16" i="19"/>
  <c r="H16" i="19"/>
  <c r="I16" i="19"/>
  <c r="J16" i="19"/>
  <c r="D25" i="19"/>
  <c r="E25" i="19"/>
  <c r="F25" i="19"/>
  <c r="G25" i="19"/>
  <c r="H24" i="19"/>
  <c r="I24" i="19" s="1"/>
  <c r="J24" i="19" s="1"/>
  <c r="H23" i="19"/>
  <c r="I23" i="19" s="1"/>
  <c r="J23" i="19" s="1"/>
  <c r="H22" i="19"/>
  <c r="I22" i="19" s="1"/>
  <c r="J22" i="19" s="1"/>
  <c r="H21" i="19"/>
  <c r="I21" i="19" s="1"/>
  <c r="J21" i="19" s="1"/>
  <c r="H20" i="19"/>
  <c r="I20" i="19" s="1"/>
  <c r="J20" i="19" s="1"/>
  <c r="H19" i="19"/>
  <c r="D15" i="19"/>
  <c r="E15" i="19"/>
  <c r="F15" i="19"/>
  <c r="G15" i="19"/>
  <c r="H14" i="19"/>
  <c r="H13" i="19"/>
  <c r="I13" i="19" s="1"/>
  <c r="J13" i="19" s="1"/>
  <c r="H12" i="19"/>
  <c r="I12" i="19" s="1"/>
  <c r="J12" i="19" s="1"/>
  <c r="H11" i="19"/>
  <c r="I11" i="19" s="1"/>
  <c r="J11" i="19" s="1"/>
  <c r="H10" i="19"/>
  <c r="I10" i="19" s="1"/>
  <c r="J10" i="19" s="1"/>
  <c r="H9" i="19"/>
  <c r="I9" i="19" s="1"/>
  <c r="J9" i="19" s="1"/>
  <c r="H8" i="19"/>
  <c r="I8" i="19" s="1"/>
  <c r="J8" i="19" s="1"/>
  <c r="H7" i="19"/>
  <c r="I7" i="19" s="1"/>
  <c r="J7" i="19" s="1"/>
  <c r="G4" i="19"/>
  <c r="H4" i="19" s="1"/>
  <c r="I4" i="19" s="1"/>
  <c r="J4" i="19" s="1"/>
  <c r="B4" i="19"/>
  <c r="B2" i="19"/>
  <c r="M9" i="18"/>
  <c r="M7" i="18"/>
  <c r="M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5" i="18"/>
  <c r="F26" i="22" l="1"/>
  <c r="G26" i="22"/>
  <c r="J7" i="20"/>
  <c r="J13" i="20" s="1"/>
  <c r="J12" i="20"/>
  <c r="F24" i="20" s="1"/>
  <c r="G13" i="20"/>
  <c r="D24" i="20"/>
  <c r="D25" i="20"/>
  <c r="I18" i="20"/>
  <c r="I20" i="20" s="1"/>
  <c r="I27" i="20" s="1"/>
  <c r="F12" i="20"/>
  <c r="F13" i="20"/>
  <c r="F25" i="20"/>
  <c r="I28" i="20" s="1"/>
  <c r="I25" i="20"/>
  <c r="F27" i="20"/>
  <c r="D27" i="20"/>
  <c r="E25" i="20" s="1"/>
  <c r="I7" i="20"/>
  <c r="E26" i="22"/>
  <c r="F4" i="22"/>
  <c r="E4" i="22" s="1"/>
  <c r="D4" i="22" s="1"/>
  <c r="E4" i="21"/>
  <c r="D4" i="21" s="1"/>
  <c r="H15" i="19"/>
  <c r="H25" i="19"/>
  <c r="I19" i="19"/>
  <c r="I25" i="19" s="1"/>
  <c r="I14" i="19"/>
  <c r="I15" i="19" s="1"/>
  <c r="F4" i="19"/>
  <c r="E4" i="19" s="1"/>
  <c r="D4" i="19" s="1"/>
  <c r="I33" i="20" l="1"/>
  <c r="F22" i="23" s="1"/>
  <c r="I13" i="20"/>
  <c r="I12" i="20"/>
  <c r="L7" i="20"/>
  <c r="E24" i="20"/>
  <c r="E27" i="20" s="1"/>
  <c r="J19" i="19"/>
  <c r="J25" i="19" s="1"/>
  <c r="J14" i="19"/>
  <c r="J15" i="19" s="1"/>
  <c r="L12" i="20" l="1"/>
  <c r="L13" i="20"/>
  <c r="H59" i="7"/>
  <c r="I59" i="7"/>
  <c r="J59" i="7"/>
  <c r="H58" i="7"/>
  <c r="I58" i="7"/>
  <c r="J58" i="7"/>
  <c r="H57" i="7"/>
  <c r="I57" i="7"/>
  <c r="J57" i="7"/>
  <c r="H55" i="7"/>
  <c r="I55" i="7"/>
  <c r="J55" i="7"/>
  <c r="H53" i="7"/>
  <c r="I53" i="7"/>
  <c r="J53" i="7"/>
  <c r="H52" i="7"/>
  <c r="I52" i="7"/>
  <c r="J52" i="7"/>
  <c r="H84" i="15" l="1"/>
  <c r="H73" i="15"/>
  <c r="H81" i="15" s="1"/>
  <c r="I73" i="15" s="1"/>
  <c r="I81" i="15" s="1"/>
  <c r="J73" i="15" s="1"/>
  <c r="J81" i="15" s="1"/>
  <c r="H62" i="15"/>
  <c r="H70" i="15" s="1"/>
  <c r="I62" i="15" s="1"/>
  <c r="I70" i="15" s="1"/>
  <c r="J62" i="15" s="1"/>
  <c r="J70" i="15" s="1"/>
  <c r="H51" i="15"/>
  <c r="H59" i="15" s="1"/>
  <c r="I51" i="15" s="1"/>
  <c r="I59" i="15" s="1"/>
  <c r="J51" i="15" s="1"/>
  <c r="J59" i="15" s="1"/>
  <c r="H40" i="15"/>
  <c r="H37" i="15"/>
  <c r="I29" i="15" s="1"/>
  <c r="I37" i="15" s="1"/>
  <c r="J29" i="15" s="1"/>
  <c r="J37" i="15" s="1"/>
  <c r="H29" i="15"/>
  <c r="H18" i="15"/>
  <c r="H26" i="15" s="1"/>
  <c r="I18" i="15" s="1"/>
  <c r="I26" i="15" s="1"/>
  <c r="J18" i="15" s="1"/>
  <c r="J26" i="15" s="1"/>
  <c r="H15" i="15"/>
  <c r="H7" i="15"/>
  <c r="I7" i="15"/>
  <c r="I15" i="15" s="1"/>
  <c r="J7" i="15" s="1"/>
  <c r="J15" i="15" s="1"/>
  <c r="G4" i="16" l="1"/>
  <c r="H4" i="16" s="1"/>
  <c r="I4" i="16" s="1"/>
  <c r="J4" i="16" s="1"/>
  <c r="B4" i="16"/>
  <c r="B2" i="16"/>
  <c r="G4" i="15"/>
  <c r="H4" i="15" s="1"/>
  <c r="I4" i="15" s="1"/>
  <c r="J4" i="15" s="1"/>
  <c r="B4" i="15"/>
  <c r="B2" i="15"/>
  <c r="H89" i="12"/>
  <c r="I89" i="12"/>
  <c r="J89" i="12" s="1"/>
  <c r="E89" i="12"/>
  <c r="F89" i="12"/>
  <c r="G89" i="12"/>
  <c r="E86" i="12"/>
  <c r="F86" i="12"/>
  <c r="G86" i="12"/>
  <c r="E85" i="12"/>
  <c r="F85" i="12"/>
  <c r="G85" i="12"/>
  <c r="H85" i="12"/>
  <c r="E82" i="12"/>
  <c r="F82" i="12"/>
  <c r="G82" i="12"/>
  <c r="E81" i="12"/>
  <c r="F81" i="12"/>
  <c r="G81" i="12"/>
  <c r="H81" i="12"/>
  <c r="I81" i="12"/>
  <c r="J81" i="12"/>
  <c r="E80" i="12"/>
  <c r="F80" i="12"/>
  <c r="G80" i="12"/>
  <c r="G77" i="12"/>
  <c r="H77" i="12" s="1"/>
  <c r="I77" i="12" s="1"/>
  <c r="J77" i="12" s="1"/>
  <c r="F77" i="12"/>
  <c r="E77" i="12"/>
  <c r="G69" i="12"/>
  <c r="H69" i="12" s="1"/>
  <c r="I69" i="12" s="1"/>
  <c r="J69" i="12" s="1"/>
  <c r="F69" i="12"/>
  <c r="E69" i="12"/>
  <c r="G61" i="12"/>
  <c r="H61" i="12" s="1"/>
  <c r="F61" i="12"/>
  <c r="E61" i="12"/>
  <c r="G53" i="12"/>
  <c r="H53" i="12" s="1"/>
  <c r="I53" i="12" s="1"/>
  <c r="J53" i="12" s="1"/>
  <c r="F53" i="12"/>
  <c r="E53" i="12"/>
  <c r="G45" i="12"/>
  <c r="H45" i="12" s="1"/>
  <c r="I45" i="12" s="1"/>
  <c r="J45" i="12" s="1"/>
  <c r="F45" i="12"/>
  <c r="E45" i="12"/>
  <c r="G37" i="12"/>
  <c r="H37" i="12" s="1"/>
  <c r="I37" i="12" s="1"/>
  <c r="J37" i="12" s="1"/>
  <c r="F37" i="12"/>
  <c r="E37" i="12"/>
  <c r="G29" i="12"/>
  <c r="H29" i="12" s="1"/>
  <c r="I29" i="12" s="1"/>
  <c r="J29" i="12" s="1"/>
  <c r="F29" i="12"/>
  <c r="E29" i="12"/>
  <c r="G21" i="12"/>
  <c r="H21" i="12" s="1"/>
  <c r="I21" i="12" s="1"/>
  <c r="J21" i="12" s="1"/>
  <c r="F21" i="12"/>
  <c r="E21" i="12"/>
  <c r="E13" i="12"/>
  <c r="F13" i="12"/>
  <c r="G13" i="12"/>
  <c r="H13" i="12" s="1"/>
  <c r="H72" i="12"/>
  <c r="G72" i="12"/>
  <c r="G74" i="12" s="1"/>
  <c r="F72" i="12"/>
  <c r="F74" i="12" s="1"/>
  <c r="E72" i="12"/>
  <c r="E74" i="12" s="1"/>
  <c r="H64" i="12"/>
  <c r="G64" i="12"/>
  <c r="G66" i="12" s="1"/>
  <c r="F64" i="12"/>
  <c r="F65" i="12" s="1"/>
  <c r="E64" i="12"/>
  <c r="E66" i="12" s="1"/>
  <c r="H56" i="12"/>
  <c r="G56" i="12"/>
  <c r="G58" i="12" s="1"/>
  <c r="F56" i="12"/>
  <c r="F58" i="12" s="1"/>
  <c r="E56" i="12"/>
  <c r="E57" i="12" s="1"/>
  <c r="F50" i="12"/>
  <c r="E50" i="12"/>
  <c r="H48" i="12"/>
  <c r="G48" i="12"/>
  <c r="G50" i="12" s="1"/>
  <c r="F48" i="12"/>
  <c r="F49" i="12" s="1"/>
  <c r="E48" i="12"/>
  <c r="E49" i="12" s="1"/>
  <c r="G42" i="12"/>
  <c r="H40" i="12"/>
  <c r="G40" i="12"/>
  <c r="G41" i="12" s="1"/>
  <c r="F40" i="12"/>
  <c r="F42" i="12" s="1"/>
  <c r="E40" i="12"/>
  <c r="E42" i="12" s="1"/>
  <c r="H32" i="12"/>
  <c r="G32" i="12"/>
  <c r="G34" i="12" s="1"/>
  <c r="F32" i="12"/>
  <c r="F33" i="12" s="1"/>
  <c r="E32" i="12"/>
  <c r="E34" i="12" s="1"/>
  <c r="H24" i="12"/>
  <c r="G24" i="12"/>
  <c r="G26" i="12" s="1"/>
  <c r="F24" i="12"/>
  <c r="F26" i="12" s="1"/>
  <c r="E24" i="12"/>
  <c r="E26" i="12" s="1"/>
  <c r="G18" i="12"/>
  <c r="H16" i="12"/>
  <c r="G16" i="12"/>
  <c r="G17" i="12" s="1"/>
  <c r="F16" i="12"/>
  <c r="F18" i="12" s="1"/>
  <c r="E16" i="12"/>
  <c r="E18" i="12" s="1"/>
  <c r="E10" i="12"/>
  <c r="F10" i="12"/>
  <c r="G10" i="12"/>
  <c r="E9" i="12"/>
  <c r="F9" i="12"/>
  <c r="G9" i="12"/>
  <c r="E8" i="12"/>
  <c r="F8" i="12"/>
  <c r="G8" i="12"/>
  <c r="H8" i="12"/>
  <c r="G4" i="12"/>
  <c r="H4" i="12" s="1"/>
  <c r="I4" i="12" s="1"/>
  <c r="J4" i="12" s="1"/>
  <c r="B4" i="12"/>
  <c r="B2" i="12"/>
  <c r="I13" i="12" l="1"/>
  <c r="I61" i="12"/>
  <c r="F4" i="16"/>
  <c r="E4" i="16" s="1"/>
  <c r="D4" i="16" s="1"/>
  <c r="F4" i="15"/>
  <c r="E4" i="15" s="1"/>
  <c r="D4" i="15" s="1"/>
  <c r="E73" i="12"/>
  <c r="G73" i="12"/>
  <c r="F73" i="12"/>
  <c r="E65" i="12"/>
  <c r="G65" i="12"/>
  <c r="F66" i="12"/>
  <c r="E58" i="12"/>
  <c r="F57" i="12"/>
  <c r="G57" i="12"/>
  <c r="G49" i="12"/>
  <c r="E41" i="12"/>
  <c r="F41" i="12"/>
  <c r="G33" i="12"/>
  <c r="F34" i="12"/>
  <c r="E33" i="12"/>
  <c r="E25" i="12"/>
  <c r="F25" i="12"/>
  <c r="G25" i="12"/>
  <c r="E17" i="12"/>
  <c r="F17" i="12"/>
  <c r="F4" i="12"/>
  <c r="E4" i="12" s="1"/>
  <c r="D4" i="12" s="1"/>
  <c r="J61" i="12" l="1"/>
  <c r="J13" i="12"/>
  <c r="E34" i="10"/>
  <c r="F34" i="10"/>
  <c r="G34" i="10"/>
  <c r="H34" i="10"/>
  <c r="I34" i="10"/>
  <c r="I26" i="10"/>
  <c r="K27" i="10"/>
  <c r="J19" i="10"/>
  <c r="K19" i="10" s="1"/>
  <c r="L19" i="10" s="1"/>
  <c r="J18" i="10"/>
  <c r="I9" i="10"/>
  <c r="J31" i="10"/>
  <c r="J10" i="10"/>
  <c r="K10" i="10" s="1"/>
  <c r="L10" i="10" s="1"/>
  <c r="J11" i="10"/>
  <c r="K11" i="10" s="1"/>
  <c r="L11" i="10" s="1"/>
  <c r="J12" i="10"/>
  <c r="K12" i="10" s="1"/>
  <c r="L12" i="10" s="1"/>
  <c r="G21" i="10"/>
  <c r="G14" i="10"/>
  <c r="H14" i="10"/>
  <c r="I14" i="10"/>
  <c r="J14" i="10" s="1"/>
  <c r="K14" i="10" s="1"/>
  <c r="L14" i="10" s="1"/>
  <c r="I20" i="10"/>
  <c r="I21" i="10" s="1"/>
  <c r="J21" i="10" s="1"/>
  <c r="K21" i="10" s="1"/>
  <c r="L21" i="10" s="1"/>
  <c r="H20" i="10"/>
  <c r="H21" i="10" s="1"/>
  <c r="G20" i="10"/>
  <c r="F20" i="10"/>
  <c r="F13" i="10"/>
  <c r="G13" i="10"/>
  <c r="H13" i="10"/>
  <c r="I13" i="10"/>
  <c r="I19" i="10"/>
  <c r="H19" i="10"/>
  <c r="G19" i="10"/>
  <c r="G12" i="10"/>
  <c r="H12" i="10"/>
  <c r="I12" i="10"/>
  <c r="I30" i="10"/>
  <c r="H30" i="10"/>
  <c r="G30" i="10"/>
  <c r="F30" i="10"/>
  <c r="E30" i="10"/>
  <c r="I29" i="10"/>
  <c r="H29" i="10"/>
  <c r="G29" i="10"/>
  <c r="F29" i="10"/>
  <c r="E29" i="10"/>
  <c r="D29" i="10"/>
  <c r="I27" i="10"/>
  <c r="H27" i="10"/>
  <c r="L27" i="10" s="1"/>
  <c r="L25" i="10" s="1"/>
  <c r="G27" i="10"/>
  <c r="F27" i="10"/>
  <c r="E27" i="10"/>
  <c r="H26" i="10"/>
  <c r="G26" i="10"/>
  <c r="F26" i="10"/>
  <c r="E26" i="10"/>
  <c r="D26" i="10"/>
  <c r="I17" i="10"/>
  <c r="J17" i="10" s="1"/>
  <c r="K17" i="10" s="1"/>
  <c r="L17" i="10" s="1"/>
  <c r="H17" i="10"/>
  <c r="G17" i="10"/>
  <c r="F17" i="10"/>
  <c r="E17" i="10"/>
  <c r="I16" i="10"/>
  <c r="H16" i="10"/>
  <c r="G16" i="10"/>
  <c r="F16" i="10"/>
  <c r="E16" i="10"/>
  <c r="D16" i="10"/>
  <c r="E10" i="10"/>
  <c r="F10" i="10"/>
  <c r="G10" i="10"/>
  <c r="H10" i="10"/>
  <c r="I10" i="10"/>
  <c r="D9" i="10"/>
  <c r="E9" i="10"/>
  <c r="F9" i="10"/>
  <c r="G9" i="10"/>
  <c r="H9" i="10"/>
  <c r="J30" i="10" l="1"/>
  <c r="K30" i="10"/>
  <c r="L30" i="10"/>
  <c r="J27" i="10"/>
  <c r="J20" i="10"/>
  <c r="K20" i="10" s="1"/>
  <c r="L20" i="10" s="1"/>
  <c r="J13" i="10"/>
  <c r="K13" i="10" s="1"/>
  <c r="L13" i="10" s="1"/>
  <c r="L8" i="10" s="1"/>
  <c r="K18" i="10"/>
  <c r="I4" i="10"/>
  <c r="J4" i="10" s="1"/>
  <c r="K4" i="10" s="1"/>
  <c r="L4" i="10" s="1"/>
  <c r="B4" i="10"/>
  <c r="B2" i="10"/>
  <c r="H23" i="7"/>
  <c r="I23" i="7" s="1"/>
  <c r="J23" i="7" s="1"/>
  <c r="L28" i="10" l="1"/>
  <c r="K31" i="10"/>
  <c r="L18" i="10"/>
  <c r="L15" i="10" s="1"/>
  <c r="H4" i="10"/>
  <c r="G4" i="10" s="1"/>
  <c r="F4" i="10" s="1"/>
  <c r="E4" i="10" s="1"/>
  <c r="D4" i="10" s="1"/>
  <c r="H49" i="7"/>
  <c r="I49" i="7"/>
  <c r="J49" i="7" s="1"/>
  <c r="H50" i="7"/>
  <c r="I50" i="7"/>
  <c r="J50" i="7"/>
  <c r="H51" i="7"/>
  <c r="I51" i="7"/>
  <c r="J51" i="7"/>
  <c r="H54" i="7"/>
  <c r="I54" i="7"/>
  <c r="J54" i="7"/>
  <c r="H43" i="7"/>
  <c r="I43" i="7" s="1"/>
  <c r="J43" i="7" s="1"/>
  <c r="H44" i="7"/>
  <c r="I44" i="7"/>
  <c r="J44" i="7"/>
  <c r="H38" i="7"/>
  <c r="I38" i="7" s="1"/>
  <c r="J38" i="7" s="1"/>
  <c r="H30" i="7"/>
  <c r="I30" i="7" s="1"/>
  <c r="J30" i="7" s="1"/>
  <c r="H31" i="7"/>
  <c r="I31" i="7"/>
  <c r="J31" i="7"/>
  <c r="H20" i="7"/>
  <c r="I20" i="7"/>
  <c r="J20" i="7"/>
  <c r="H21" i="7"/>
  <c r="I21" i="7"/>
  <c r="J21" i="7"/>
  <c r="G44" i="5"/>
  <c r="G41" i="5"/>
  <c r="H41" i="5"/>
  <c r="I41" i="5"/>
  <c r="D65" i="7"/>
  <c r="E65" i="7"/>
  <c r="F65" i="7"/>
  <c r="G65" i="7"/>
  <c r="G4" i="7"/>
  <c r="H4" i="7" s="1"/>
  <c r="I4" i="7" s="1"/>
  <c r="J4" i="7" s="1"/>
  <c r="F4" i="7"/>
  <c r="E4" i="7" s="1"/>
  <c r="D4" i="7" s="1"/>
  <c r="B4" i="7"/>
  <c r="B2" i="7"/>
  <c r="F4" i="5"/>
  <c r="G4" i="5" s="1"/>
  <c r="H4" i="5" s="1"/>
  <c r="I4" i="5" s="1"/>
  <c r="B4" i="5"/>
  <c r="B2" i="5"/>
  <c r="F4" i="4"/>
  <c r="E4" i="4" s="1"/>
  <c r="D4" i="4" s="1"/>
  <c r="B4" i="4"/>
  <c r="B2" i="4"/>
  <c r="L31" i="10" l="1"/>
  <c r="E4" i="5"/>
  <c r="D4" i="5" s="1"/>
  <c r="G4" i="4"/>
  <c r="H4" i="4" s="1"/>
  <c r="I4" i="4" s="1"/>
  <c r="K22" i="10" l="1"/>
  <c r="K33" i="10" s="1"/>
  <c r="L22" i="10"/>
  <c r="L33" i="10" s="1"/>
  <c r="J22" i="10"/>
  <c r="J33" i="10" s="1"/>
  <c r="J34" i="10" l="1"/>
  <c r="G18" i="23" s="1"/>
  <c r="L34" i="10"/>
  <c r="I18" i="23" s="1"/>
  <c r="J18" i="23" s="1"/>
  <c r="K18" i="23" s="1"/>
  <c r="L18" i="23" s="1"/>
  <c r="M18" i="23" s="1"/>
  <c r="N18" i="23" s="1"/>
  <c r="O18" i="23" s="1"/>
  <c r="P18" i="23" s="1"/>
  <c r="Q18" i="23" s="1"/>
  <c r="R18" i="23" s="1"/>
  <c r="I7" i="4"/>
  <c r="K34" i="10"/>
  <c r="H18" i="23" s="1"/>
  <c r="J26" i="10"/>
  <c r="J29" i="10"/>
  <c r="L26" i="10"/>
  <c r="L29" i="10"/>
  <c r="K26" i="10"/>
  <c r="K29" i="10"/>
  <c r="J9" i="10"/>
  <c r="J16" i="10"/>
  <c r="L9" i="10"/>
  <c r="L16" i="10"/>
  <c r="K9" i="10"/>
  <c r="K16" i="10"/>
  <c r="I40" i="7" l="1"/>
  <c r="I41" i="7"/>
  <c r="I25" i="7"/>
  <c r="I17" i="7"/>
  <c r="I35" i="7"/>
  <c r="I34" i="7"/>
  <c r="I42" i="7"/>
  <c r="I37" i="7"/>
  <c r="H10" i="4"/>
  <c r="I36" i="7"/>
  <c r="H8" i="4"/>
  <c r="H55" i="21"/>
  <c r="H53" i="21" s="1"/>
  <c r="H12" i="4"/>
  <c r="I12" i="7"/>
  <c r="I13" i="7"/>
  <c r="I16" i="7"/>
  <c r="I11" i="7"/>
  <c r="I10" i="7"/>
  <c r="I14" i="7"/>
  <c r="H14" i="4"/>
  <c r="H15" i="4"/>
  <c r="I24" i="7"/>
  <c r="I22" i="7"/>
  <c r="H13" i="4"/>
  <c r="I25" i="12"/>
  <c r="I33" i="12"/>
  <c r="I65" i="12"/>
  <c r="I17" i="12"/>
  <c r="I49" i="12"/>
  <c r="I9" i="12"/>
  <c r="I30" i="22"/>
  <c r="I57" i="12"/>
  <c r="I17" i="22"/>
  <c r="I14" i="22"/>
  <c r="I41" i="22"/>
  <c r="I73" i="12"/>
  <c r="I41" i="12"/>
  <c r="J41" i="7"/>
  <c r="I16" i="5" s="1"/>
  <c r="J25" i="7"/>
  <c r="J17" i="7"/>
  <c r="J35" i="7"/>
  <c r="J34" i="7"/>
  <c r="J40" i="7"/>
  <c r="I14" i="5" s="1"/>
  <c r="J42" i="7"/>
  <c r="I10" i="4"/>
  <c r="I8" i="4"/>
  <c r="I9" i="4" s="1"/>
  <c r="J36" i="7"/>
  <c r="J37" i="7"/>
  <c r="I55" i="21"/>
  <c r="I53" i="21" s="1"/>
  <c r="J24" i="7"/>
  <c r="J16" i="7"/>
  <c r="J14" i="7"/>
  <c r="J13" i="7"/>
  <c r="I12" i="4"/>
  <c r="I14" i="4"/>
  <c r="J22" i="7"/>
  <c r="J12" i="7"/>
  <c r="I13" i="4"/>
  <c r="J10" i="7"/>
  <c r="I64" i="21" s="1"/>
  <c r="J11" i="7"/>
  <c r="I15" i="4"/>
  <c r="J14" i="22"/>
  <c r="J73" i="12"/>
  <c r="J41" i="12"/>
  <c r="J9" i="12"/>
  <c r="J65" i="12"/>
  <c r="J33" i="12"/>
  <c r="J17" i="12"/>
  <c r="J25" i="12"/>
  <c r="J49" i="12"/>
  <c r="I7" i="21"/>
  <c r="J57" i="12"/>
  <c r="J41" i="22"/>
  <c r="J17" i="22"/>
  <c r="J30" i="22"/>
  <c r="H25" i="7"/>
  <c r="H17" i="7"/>
  <c r="H40" i="7"/>
  <c r="G14" i="5" s="1"/>
  <c r="H34" i="7"/>
  <c r="H41" i="7"/>
  <c r="G16" i="5" s="1"/>
  <c r="H37" i="7"/>
  <c r="H36" i="7"/>
  <c r="H35" i="7"/>
  <c r="H42" i="7"/>
  <c r="G20" i="5" s="1"/>
  <c r="G10" i="4"/>
  <c r="G8" i="4"/>
  <c r="G9" i="4" s="1"/>
  <c r="G55" i="21"/>
  <c r="G53" i="21" s="1"/>
  <c r="H12" i="7"/>
  <c r="H24" i="7"/>
  <c r="G12" i="4"/>
  <c r="H10" i="7"/>
  <c r="H11" i="7"/>
  <c r="G28" i="21" s="1"/>
  <c r="G29" i="21" s="1"/>
  <c r="H13" i="7"/>
  <c r="H22" i="7"/>
  <c r="H16" i="7"/>
  <c r="G15" i="4"/>
  <c r="G13" i="4"/>
  <c r="H14" i="7"/>
  <c r="G14" i="4"/>
  <c r="H9" i="12"/>
  <c r="H57" i="12"/>
  <c r="H59" i="12" s="1"/>
  <c r="I56" i="12" s="1"/>
  <c r="H30" i="22"/>
  <c r="H17" i="12"/>
  <c r="H19" i="12" s="1"/>
  <c r="I16" i="12" s="1"/>
  <c r="H14" i="22"/>
  <c r="H17" i="22"/>
  <c r="H41" i="22"/>
  <c r="H73" i="12"/>
  <c r="H75" i="12" s="1"/>
  <c r="I72" i="12" s="1"/>
  <c r="H41" i="12"/>
  <c r="H43" i="12" s="1"/>
  <c r="I40" i="12" s="1"/>
  <c r="I43" i="12" s="1"/>
  <c r="J40" i="12" s="1"/>
  <c r="H33" i="12"/>
  <c r="H35" i="12" s="1"/>
  <c r="I32" i="12" s="1"/>
  <c r="I35" i="12" s="1"/>
  <c r="J32" i="12" s="1"/>
  <c r="H65" i="12"/>
  <c r="H67" i="12" s="1"/>
  <c r="I64" i="12" s="1"/>
  <c r="I67" i="12" s="1"/>
  <c r="J64" i="12" s="1"/>
  <c r="H49" i="12"/>
  <c r="H51" i="12" s="1"/>
  <c r="I48" i="12" s="1"/>
  <c r="H25" i="12"/>
  <c r="H27" i="12" s="1"/>
  <c r="I24" i="12" s="1"/>
  <c r="I27" i="12" s="1"/>
  <c r="J24" i="12" s="1"/>
  <c r="I75" i="12" l="1"/>
  <c r="J72" i="12" s="1"/>
  <c r="H20" i="5"/>
  <c r="I51" i="12"/>
  <c r="J48" i="12" s="1"/>
  <c r="H28" i="21"/>
  <c r="H29" i="21" s="1"/>
  <c r="J67" i="12"/>
  <c r="I59" i="12"/>
  <c r="J56" i="12" s="1"/>
  <c r="J59" i="12" s="1"/>
  <c r="J51" i="12"/>
  <c r="J75" i="12"/>
  <c r="J43" i="12"/>
  <c r="G12" i="21"/>
  <c r="G11" i="4"/>
  <c r="I20" i="5"/>
  <c r="J35" i="12"/>
  <c r="I12" i="21"/>
  <c r="I11" i="4"/>
  <c r="J80" i="12"/>
  <c r="I80" i="12"/>
  <c r="G64" i="21"/>
  <c r="H26" i="5"/>
  <c r="G26" i="5"/>
  <c r="J27" i="12"/>
  <c r="I19" i="5"/>
  <c r="I33" i="7"/>
  <c r="I32" i="7"/>
  <c r="I39" i="7" s="1"/>
  <c r="I46" i="7" s="1"/>
  <c r="I15" i="7"/>
  <c r="H11" i="12"/>
  <c r="H80" i="12"/>
  <c r="H32" i="7"/>
  <c r="H33" i="7"/>
  <c r="H15" i="7"/>
  <c r="G30" i="21" s="1"/>
  <c r="G31" i="21" s="1"/>
  <c r="H64" i="21"/>
  <c r="I26" i="5"/>
  <c r="H9" i="4"/>
  <c r="H16" i="5"/>
  <c r="G19" i="5"/>
  <c r="H19" i="5"/>
  <c r="I19" i="12"/>
  <c r="J16" i="12" s="1"/>
  <c r="J19" i="12" s="1"/>
  <c r="I28" i="21"/>
  <c r="I29" i="21" s="1"/>
  <c r="J33" i="7"/>
  <c r="J32" i="7"/>
  <c r="J15" i="7"/>
  <c r="H14" i="5"/>
  <c r="J39" i="7" l="1"/>
  <c r="J46" i="7" s="1"/>
  <c r="I30" i="21"/>
  <c r="I31" i="21" s="1"/>
  <c r="I18" i="5"/>
  <c r="I32" i="21"/>
  <c r="I33" i="21" s="1"/>
  <c r="G18" i="5"/>
  <c r="H39" i="7"/>
  <c r="H46" i="7" s="1"/>
  <c r="H82" i="12"/>
  <c r="G25" i="5"/>
  <c r="H86" i="12"/>
  <c r="I82" i="12"/>
  <c r="H25" i="5"/>
  <c r="I8" i="12"/>
  <c r="I11" i="12" s="1"/>
  <c r="H79" i="12"/>
  <c r="I25" i="5"/>
  <c r="J82" i="12"/>
  <c r="H12" i="21"/>
  <c r="H11" i="4"/>
  <c r="H30" i="21"/>
  <c r="H31" i="21" s="1"/>
  <c r="I69" i="21"/>
  <c r="I7" i="23"/>
  <c r="I8" i="23" s="1"/>
  <c r="I9" i="23" s="1"/>
  <c r="I41" i="21"/>
  <c r="I16" i="4"/>
  <c r="I42" i="21"/>
  <c r="I13" i="21"/>
  <c r="J38" i="22"/>
  <c r="J29" i="22"/>
  <c r="J28" i="22" s="1"/>
  <c r="H32" i="21"/>
  <c r="H33" i="21" s="1"/>
  <c r="G32" i="21"/>
  <c r="G33" i="21" s="1"/>
  <c r="G36" i="21" s="1"/>
  <c r="G16" i="4"/>
  <c r="G7" i="23"/>
  <c r="G8" i="23" s="1"/>
  <c r="G9" i="23" s="1"/>
  <c r="G8" i="21"/>
  <c r="G69" i="21"/>
  <c r="G13" i="21"/>
  <c r="G42" i="21"/>
  <c r="H38" i="22"/>
  <c r="G41" i="21"/>
  <c r="H29" i="22"/>
  <c r="H28" i="22" s="1"/>
  <c r="H18" i="5"/>
  <c r="I36" i="21" l="1"/>
  <c r="H36" i="21"/>
  <c r="I17" i="4"/>
  <c r="I19" i="4" s="1"/>
  <c r="J37" i="22"/>
  <c r="J36" i="22" s="1"/>
  <c r="J34" i="22"/>
  <c r="H87" i="12"/>
  <c r="G10" i="5"/>
  <c r="G17" i="4"/>
  <c r="G19" i="4" s="1"/>
  <c r="H34" i="22"/>
  <c r="H37" i="22"/>
  <c r="H36" i="22" s="1"/>
  <c r="H93" i="12"/>
  <c r="G31" i="5"/>
  <c r="G11" i="23"/>
  <c r="I29" i="22"/>
  <c r="I28" i="22" s="1"/>
  <c r="H13" i="21"/>
  <c r="I38" i="22"/>
  <c r="H41" i="21"/>
  <c r="H42" i="21"/>
  <c r="H16" i="4"/>
  <c r="H8" i="21"/>
  <c r="H69" i="21"/>
  <c r="H7" i="23"/>
  <c r="H8" i="23" s="1"/>
  <c r="H9" i="23" s="1"/>
  <c r="I31" i="5"/>
  <c r="I11" i="23"/>
  <c r="I8" i="21"/>
  <c r="J8" i="12"/>
  <c r="J11" i="12" s="1"/>
  <c r="J79" i="12" s="1"/>
  <c r="I79" i="12"/>
  <c r="H11" i="23"/>
  <c r="H31" i="5"/>
  <c r="H17" i="4" l="1"/>
  <c r="H19" i="4" s="1"/>
  <c r="I9" i="21" s="1"/>
  <c r="I37" i="22"/>
  <c r="I36" i="22" s="1"/>
  <c r="I34" i="22"/>
  <c r="G14" i="21"/>
  <c r="H13" i="22"/>
  <c r="H12" i="22" s="1"/>
  <c r="H33" i="22"/>
  <c r="H32" i="22" s="1"/>
  <c r="H41" i="15"/>
  <c r="H48" i="15" s="1"/>
  <c r="G9" i="21"/>
  <c r="G29" i="4"/>
  <c r="H85" i="15"/>
  <c r="H92" i="15" s="1"/>
  <c r="G25" i="4"/>
  <c r="G8" i="5"/>
  <c r="G22" i="4"/>
  <c r="G32" i="4"/>
  <c r="G21" i="5"/>
  <c r="G10" i="23"/>
  <c r="G13" i="23" s="1"/>
  <c r="G70" i="21"/>
  <c r="G71" i="21" s="1"/>
  <c r="F27" i="24"/>
  <c r="G27" i="24" s="1"/>
  <c r="H91" i="12"/>
  <c r="I85" i="12"/>
  <c r="I22" i="4"/>
  <c r="I14" i="21"/>
  <c r="I32" i="4"/>
  <c r="I25" i="4"/>
  <c r="J33" i="22"/>
  <c r="J32" i="22" s="1"/>
  <c r="J13" i="22"/>
  <c r="J12" i="22" s="1"/>
  <c r="J85" i="15"/>
  <c r="J41" i="15"/>
  <c r="I29" i="4"/>
  <c r="I47" i="21" s="1"/>
  <c r="I45" i="21" s="1"/>
  <c r="I8" i="5"/>
  <c r="I84" i="15" l="1"/>
  <c r="H60" i="7"/>
  <c r="I86" i="12"/>
  <c r="H10" i="5" s="1"/>
  <c r="H92" i="12"/>
  <c r="H19" i="7"/>
  <c r="F19" i="24"/>
  <c r="G19" i="24" s="1"/>
  <c r="D30" i="24" s="1"/>
  <c r="F30" i="24" s="1"/>
  <c r="G45" i="21"/>
  <c r="I40" i="15"/>
  <c r="H56" i="7"/>
  <c r="G16" i="23"/>
  <c r="G26" i="23"/>
  <c r="H25" i="4"/>
  <c r="I33" i="22"/>
  <c r="I32" i="22" s="1"/>
  <c r="H32" i="4"/>
  <c r="I13" i="22"/>
  <c r="I12" i="22" s="1"/>
  <c r="I85" i="15"/>
  <c r="I41" i="15"/>
  <c r="H29" i="4"/>
  <c r="H45" i="21" s="1"/>
  <c r="H14" i="21"/>
  <c r="H8" i="5"/>
  <c r="H22" i="4"/>
  <c r="H9" i="21"/>
  <c r="G22" i="5"/>
  <c r="G43" i="5" s="1"/>
  <c r="G45" i="5" s="1"/>
  <c r="I48" i="15" l="1"/>
  <c r="J40" i="15"/>
  <c r="J48" i="15" s="1"/>
  <c r="J56" i="7" s="1"/>
  <c r="I56" i="7"/>
  <c r="H21" i="5"/>
  <c r="H22" i="5" s="1"/>
  <c r="H43" i="5" s="1"/>
  <c r="H70" i="21"/>
  <c r="H71" i="21" s="1"/>
  <c r="H10" i="23"/>
  <c r="H13" i="23" s="1"/>
  <c r="H9" i="7"/>
  <c r="H44" i="5"/>
  <c r="G39" i="21"/>
  <c r="H22" i="22"/>
  <c r="H46" i="22"/>
  <c r="G51" i="21"/>
  <c r="G49" i="21" s="1"/>
  <c r="F23" i="24"/>
  <c r="G23" i="24" s="1"/>
  <c r="D31" i="24" s="1"/>
  <c r="F31" i="24" s="1"/>
  <c r="H61" i="7"/>
  <c r="G17" i="21"/>
  <c r="H6" i="22"/>
  <c r="I92" i="15"/>
  <c r="I87" i="12"/>
  <c r="I91" i="12" l="1"/>
  <c r="J85" i="12"/>
  <c r="I60" i="7"/>
  <c r="J84" i="15"/>
  <c r="J92" i="15" s="1"/>
  <c r="J60" i="7" s="1"/>
  <c r="H45" i="5"/>
  <c r="G25" i="21"/>
  <c r="G65" i="21"/>
  <c r="G57" i="21" s="1"/>
  <c r="H18" i="7"/>
  <c r="H27" i="24"/>
  <c r="J27" i="24" s="1"/>
  <c r="D32" i="24" s="1"/>
  <c r="F32" i="24" s="1"/>
  <c r="H16" i="23"/>
  <c r="H26" i="23"/>
  <c r="H26" i="7" l="1"/>
  <c r="G24" i="21"/>
  <c r="G23" i="21"/>
  <c r="G68" i="21"/>
  <c r="G67" i="21"/>
  <c r="G72" i="21"/>
  <c r="G73" i="21"/>
  <c r="I44" i="5"/>
  <c r="I9" i="7"/>
  <c r="I51" i="21"/>
  <c r="I49" i="21" s="1"/>
  <c r="I39" i="21"/>
  <c r="J61" i="7"/>
  <c r="H51" i="21"/>
  <c r="H49" i="21" s="1"/>
  <c r="H39" i="21"/>
  <c r="J22" i="22"/>
  <c r="J46" i="22"/>
  <c r="I61" i="7"/>
  <c r="J6" i="22"/>
  <c r="I17" i="21"/>
  <c r="H17" i="21"/>
  <c r="I46" i="22"/>
  <c r="I22" i="22"/>
  <c r="I6" i="22"/>
  <c r="I19" i="7"/>
  <c r="J86" i="12"/>
  <c r="I10" i="5" s="1"/>
  <c r="H65" i="21" l="1"/>
  <c r="H57" i="21" s="1"/>
  <c r="I18" i="7"/>
  <c r="H25" i="21"/>
  <c r="I21" i="5"/>
  <c r="I22" i="5" s="1"/>
  <c r="I43" i="5" s="1"/>
  <c r="I45" i="5" s="1"/>
  <c r="J9" i="7" s="1"/>
  <c r="I10" i="23"/>
  <c r="I13" i="23" s="1"/>
  <c r="I70" i="21"/>
  <c r="I71" i="21" s="1"/>
  <c r="G19" i="21"/>
  <c r="G40" i="21"/>
  <c r="H45" i="22"/>
  <c r="H44" i="22" s="1"/>
  <c r="H42" i="22"/>
  <c r="H40" i="22" s="1"/>
  <c r="H18" i="22"/>
  <c r="H16" i="22" s="1"/>
  <c r="H21" i="22"/>
  <c r="H20" i="22" s="1"/>
  <c r="G34" i="21"/>
  <c r="G18" i="21"/>
  <c r="H65" i="7"/>
  <c r="G20" i="21"/>
  <c r="J87" i="12"/>
  <c r="J91" i="12" s="1"/>
  <c r="J19" i="7" s="1"/>
  <c r="H26" i="22" l="1"/>
  <c r="I65" i="21"/>
  <c r="I57" i="21" s="1"/>
  <c r="J18" i="7"/>
  <c r="I25" i="21"/>
  <c r="I16" i="23"/>
  <c r="I26" i="23"/>
  <c r="J13" i="23"/>
  <c r="I26" i="7"/>
  <c r="H24" i="21"/>
  <c r="H23" i="21"/>
  <c r="H67" i="21"/>
  <c r="H73" i="21"/>
  <c r="H72" i="21"/>
  <c r="H68" i="21"/>
  <c r="H10" i="22"/>
  <c r="I21" i="22" l="1"/>
  <c r="I20" i="22" s="1"/>
  <c r="H34" i="21"/>
  <c r="H18" i="21"/>
  <c r="I65" i="7"/>
  <c r="H19" i="21"/>
  <c r="H40" i="21"/>
  <c r="I42" i="22"/>
  <c r="I40" i="22" s="1"/>
  <c r="I18" i="22"/>
  <c r="I16" i="22" s="1"/>
  <c r="I45" i="22"/>
  <c r="I44" i="22" s="1"/>
  <c r="H20" i="21"/>
  <c r="J26" i="23"/>
  <c r="K13" i="23"/>
  <c r="J26" i="7"/>
  <c r="I20" i="21" s="1"/>
  <c r="I24" i="21"/>
  <c r="I23" i="21"/>
  <c r="I68" i="21"/>
  <c r="I72" i="21"/>
  <c r="I67" i="21"/>
  <c r="I73" i="21"/>
  <c r="I10" i="22" l="1"/>
  <c r="I26" i="22"/>
  <c r="I19" i="21"/>
  <c r="I40" i="21"/>
  <c r="J45" i="22"/>
  <c r="J44" i="22" s="1"/>
  <c r="J21" i="22"/>
  <c r="J20" i="22" s="1"/>
  <c r="J42" i="22"/>
  <c r="J40" i="22" s="1"/>
  <c r="J65" i="7"/>
  <c r="J18" i="22"/>
  <c r="J16" i="22" s="1"/>
  <c r="I34" i="21"/>
  <c r="I18" i="21"/>
  <c r="L13" i="23"/>
  <c r="K26" i="23"/>
  <c r="J26" i="22" l="1"/>
  <c r="J10" i="22"/>
  <c r="M13" i="23"/>
  <c r="L26" i="23"/>
  <c r="N13" i="23" l="1"/>
  <c r="M26" i="23"/>
  <c r="O13" i="23" l="1"/>
  <c r="N26" i="23"/>
  <c r="P13" i="23" l="1"/>
  <c r="O26" i="23"/>
  <c r="Q13" i="23" l="1"/>
  <c r="P26" i="23"/>
  <c r="R13" i="23" l="1"/>
  <c r="Q26" i="23"/>
  <c r="R26" i="23" l="1"/>
  <c r="S13" i="23"/>
  <c r="S26" i="23" s="1"/>
  <c r="G28" i="23" l="1"/>
  <c r="G34" i="23" s="1"/>
  <c r="G38" i="23" s="1"/>
  <c r="H38" i="23" s="1"/>
  <c r="H45" i="23" l="1"/>
  <c r="D33" i="24"/>
  <c r="F33" i="24" s="1"/>
  <c r="F34" i="24" s="1"/>
  <c r="G34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vaibh</author>
  </authors>
  <commentList>
    <comment ref="C14" authorId="0" shapeId="0" xr:uid="{ECB5433D-BEB8-4F1B-A348-3242FF16B36C}">
      <text>
        <r>
          <rPr>
            <b/>
            <sz val="9"/>
            <color indexed="81"/>
            <rFont val="Tahoma"/>
            <family val="2"/>
          </rPr>
          <t>vaibh:</t>
        </r>
        <r>
          <rPr>
            <sz val="9"/>
            <color indexed="81"/>
            <rFont val="Tahoma"/>
            <family val="2"/>
          </rPr>
          <t xml:space="preserve">
Alt+AGG</t>
        </r>
      </text>
    </comment>
  </commentList>
</comments>
</file>

<file path=xl/sharedStrings.xml><?xml version="1.0" encoding="utf-8"?>
<sst xmlns="http://schemas.openxmlformats.org/spreadsheetml/2006/main" count="846" uniqueCount="505">
  <si>
    <t>Company name</t>
  </si>
  <si>
    <t xml:space="preserve">Currency </t>
  </si>
  <si>
    <t>LHY</t>
  </si>
  <si>
    <t>Ticker</t>
  </si>
  <si>
    <t>Coca-Cola Consolidated, Inc. (COKE)</t>
  </si>
  <si>
    <t>in thousands, except per share data</t>
  </si>
  <si>
    <t>COKE</t>
  </si>
  <si>
    <t>ctrl + F3</t>
  </si>
  <si>
    <t>Historical</t>
  </si>
  <si>
    <t>Forcasted</t>
  </si>
  <si>
    <t>Net sales</t>
  </si>
  <si>
    <t>Cost of sales</t>
  </si>
  <si>
    <t>Gross profit</t>
  </si>
  <si>
    <t>Selling, delivery and administrative expenses</t>
  </si>
  <si>
    <t>Income from operations</t>
  </si>
  <si>
    <t>Interest expense (income), net</t>
  </si>
  <si>
    <t>Mark-to-market on acquisition related contingent consideration</t>
  </si>
  <si>
    <t>Pension plan settlement expense</t>
  </si>
  <si>
    <t>Other expense, net</t>
  </si>
  <si>
    <t>Income before taxes</t>
  </si>
  <si>
    <t>Income tax expense</t>
  </si>
  <si>
    <t>Net income</t>
  </si>
  <si>
    <t>Basic net income per share:</t>
  </si>
  <si>
    <t>Common Stock</t>
  </si>
  <si>
    <t>Weighted average number of Common Stock shares outstanding</t>
  </si>
  <si>
    <t>Class B Common Stock</t>
  </si>
  <si>
    <t>Weighted average number of Class B Common Stock shares outstanding</t>
  </si>
  <si>
    <t>Diluted net income per share:</t>
  </si>
  <si>
    <t>Weighted average number of Common Stock shares outstanding – assuming dilution</t>
  </si>
  <si>
    <t>Weighted average number of Class B Common Stock shares outstanding – assuming dilution</t>
  </si>
  <si>
    <t>Cash Flows from Operating Activities:</t>
  </si>
  <si>
    <t>Adjustments to reconcile net income to net cash provided by operating activities:</t>
  </si>
  <si>
    <t>Depreciation expense from property, plant and equipment and financing leases</t>
  </si>
  <si>
    <t>Amortization of intangible assets and deferred proceeds, net</t>
  </si>
  <si>
    <t>Fair value adjustment of acquisition related contingent consideration</t>
  </si>
  <si>
    <t>Loss on sale of property, plant and equipment</t>
  </si>
  <si>
    <t>Deferred income taxes</t>
  </si>
  <si>
    <t>Amortization of debt costs</t>
  </si>
  <si>
    <t>Deferred payroll taxes under CARES Act</t>
  </si>
  <si>
    <t>Change in current assets less current liabilities</t>
  </si>
  <si>
    <t>Change in other noncurrent assets</t>
  </si>
  <si>
    <t>Change in other noncurrent liabilities</t>
  </si>
  <si>
    <t>Total adjustments</t>
  </si>
  <si>
    <t>Net cash provided by operating activities</t>
  </si>
  <si>
    <t>Cash Flows from Investing Activities:</t>
  </si>
  <si>
    <t>Additions to property, plant and equipment</t>
  </si>
  <si>
    <t>Purchases of short-term investments</t>
  </si>
  <si>
    <t>Proceeds from the disposal of short-term investments</t>
  </si>
  <si>
    <t>Investment in equity method investees</t>
  </si>
  <si>
    <t>Proceeds from the sale of property, plant and equipment</t>
  </si>
  <si>
    <t>Acquisition of distribution rights</t>
  </si>
  <si>
    <t>Net cash used in investing activities</t>
  </si>
  <si>
    <t>Cash Flows from Financing Activities:</t>
  </si>
  <si>
    <t>Proceeds from bond issuance</t>
  </si>
  <si>
    <t>Payments related to share repurchases</t>
  </si>
  <si>
    <t>Cash dividends paid</t>
  </si>
  <si>
    <t>Payments of acquisition related contingent consideration</t>
  </si>
  <si>
    <t>Debt issuance fees</t>
  </si>
  <si>
    <t>Payments on financing lease obligations</t>
  </si>
  <si>
    <t>Payments on term loan facility and senior notes</t>
  </si>
  <si>
    <t>Net cash provided by (used in) financing activities</t>
  </si>
  <si>
    <t>Net increase in cash</t>
  </si>
  <si>
    <t>Cash at beginning of year</t>
  </si>
  <si>
    <t>Cash at end of year</t>
  </si>
  <si>
    <t>ASSETS</t>
  </si>
  <si>
    <t>Current Assets:</t>
  </si>
  <si>
    <t>Cash and cash equivalents</t>
  </si>
  <si>
    <t>Short-term investments</t>
  </si>
  <si>
    <t>Accounts receivable, trade</t>
  </si>
  <si>
    <t>Allowance for doubtful accounts</t>
  </si>
  <si>
    <t>Accounts receivable from The Coca-Cola Company</t>
  </si>
  <si>
    <t>Accounts receivable, other</t>
  </si>
  <si>
    <t>Inventories</t>
  </si>
  <si>
    <t>Prepaid expenses and other current assets</t>
  </si>
  <si>
    <t>Total current assets</t>
  </si>
  <si>
    <t>Property, plant and equipment, net</t>
  </si>
  <si>
    <t>Right-of-use assets - operating leases</t>
  </si>
  <si>
    <t>Leased property under financing leases, net</t>
  </si>
  <si>
    <t>Other assets</t>
  </si>
  <si>
    <t>Goodwill</t>
  </si>
  <si>
    <t>Distribution agreements, net</t>
  </si>
  <si>
    <t>Customer lists, net</t>
  </si>
  <si>
    <t>Total assets</t>
  </si>
  <si>
    <t>LIABILITIES AND EQUITY</t>
  </si>
  <si>
    <t>Current Liabilities:</t>
  </si>
  <si>
    <t>Current portion of obligations under operating leases</t>
  </si>
  <si>
    <t>Current portion of obligations under financing leases</t>
  </si>
  <si>
    <t>Accounts payable, trade</t>
  </si>
  <si>
    <t>Accounts payable to The Coca-Cola Company</t>
  </si>
  <si>
    <t>Other accrued liabilities</t>
  </si>
  <si>
    <t>Accrued compensation</t>
  </si>
  <si>
    <t>Dividends payable</t>
  </si>
  <si>
    <t>Current portion of debt</t>
  </si>
  <si>
    <t>Total current liabilities</t>
  </si>
  <si>
    <t>Pension and postretirement benefit obligations</t>
  </si>
  <si>
    <t>Other liabilities</t>
  </si>
  <si>
    <t>Noncurrent portion of obligations under operating leases</t>
  </si>
  <si>
    <t>Noncurrent portion of obligations under financing leases</t>
  </si>
  <si>
    <t>Long-term debt</t>
  </si>
  <si>
    <t>Total liabilities</t>
  </si>
  <si>
    <t>Commitments and Contingencies</t>
  </si>
  <si>
    <t>Equity:</t>
  </si>
  <si>
    <t>Additional paid in capital</t>
  </si>
  <si>
    <t>Retained earnings</t>
  </si>
  <si>
    <t>Total equity</t>
  </si>
  <si>
    <t>Total liabilities and equity</t>
  </si>
  <si>
    <t>Convertible Preferred Stock, $100.00par value: authorized -50,000shares; issued -none</t>
  </si>
  <si>
    <t>Nonconvertible Preferred Stock, $100.00par value:authorized -50,000shares; issued -none</t>
  </si>
  <si>
    <t>Preferred Stock, $0.01par value:authorized -20,000,000shares; issued -none</t>
  </si>
  <si>
    <t>Common Stock, $1.00par value: authorized -30,000,000shares; issued -10,832,748and11,431,367shares, respectively</t>
  </si>
  <si>
    <t>Class B Common Stock, $1.00par value: authorized -10,000,000shares; issued -1,632,810shares</t>
  </si>
  <si>
    <t>Class C Common Stock, $1.00par value:authorized -20,000,000shares; issued -none</t>
  </si>
  <si>
    <t>Treasury stock, at cost:Common Stock -3,119,660and3,062,374shares, respectively</t>
  </si>
  <si>
    <t>Treasury stock, at cost:Class B Common Stock -628,114shares</t>
  </si>
  <si>
    <t>Assets held for sale</t>
  </si>
  <si>
    <t>Accrued interest payable</t>
  </si>
  <si>
    <t>Accumulated other comprehensive loss</t>
  </si>
  <si>
    <t>Cash Flow Statement</t>
  </si>
  <si>
    <t>Income Statement</t>
  </si>
  <si>
    <t>Balance Sheet</t>
  </si>
  <si>
    <t xml:space="preserve">BS Tally </t>
  </si>
  <si>
    <t>Previous year amount*(1+3%)</t>
  </si>
  <si>
    <t>Total net sales</t>
  </si>
  <si>
    <t>Bottle/can sales:</t>
  </si>
  <si>
    <t>Sparkling beverages</t>
  </si>
  <si>
    <t>Still beverages</t>
  </si>
  <si>
    <t>Total bottle/can sales</t>
  </si>
  <si>
    <t>Other sales:</t>
  </si>
  <si>
    <t>Sales to other Coca‑Cola bottlers</t>
  </si>
  <si>
    <t>Post-mix sales and other</t>
  </si>
  <si>
    <t>Total other sales</t>
  </si>
  <si>
    <t>Volume</t>
  </si>
  <si>
    <t>As % of Net Sales</t>
  </si>
  <si>
    <t>YoY growth</t>
  </si>
  <si>
    <t>Price Per Product</t>
  </si>
  <si>
    <t>Land</t>
  </si>
  <si>
    <t>Buildings</t>
  </si>
  <si>
    <t>Machinery and equipment</t>
  </si>
  <si>
    <t>Transportation equipment</t>
  </si>
  <si>
    <t>Furniture and fixtures</t>
  </si>
  <si>
    <t>Cold drink dispensing equipment</t>
  </si>
  <si>
    <t>Leasehold and land improvements</t>
  </si>
  <si>
    <t>Software for internal use</t>
  </si>
  <si>
    <t>Construction in progress</t>
  </si>
  <si>
    <t>Fixed Asset Model</t>
  </si>
  <si>
    <t>Opening</t>
  </si>
  <si>
    <t>(+)Purchases</t>
  </si>
  <si>
    <t>(-)Sales</t>
  </si>
  <si>
    <t>Closing</t>
  </si>
  <si>
    <t>Capex as % of Revenue</t>
  </si>
  <si>
    <t>(+)Total Purchases</t>
  </si>
  <si>
    <t>(-)Total Sales</t>
  </si>
  <si>
    <t>Opening Accumulated depreciation and amortization</t>
  </si>
  <si>
    <t>Accumulated depreciation and amortization During the Year</t>
  </si>
  <si>
    <t>Closing Accumulated depreciation and amortization</t>
  </si>
  <si>
    <t>Accumulated depreciation and amortization:</t>
  </si>
  <si>
    <t>Depreciation as % of Net Assets</t>
  </si>
  <si>
    <t>Gross property, plant and equipment, at cost</t>
  </si>
  <si>
    <t>Total Property, plant and equipment, net</t>
  </si>
  <si>
    <t>CFS</t>
  </si>
  <si>
    <t>BS</t>
  </si>
  <si>
    <t>Equity Shares</t>
  </si>
  <si>
    <t>Additional Paid-in Capital</t>
  </si>
  <si>
    <t>Other comprehensive income, net of tax</t>
  </si>
  <si>
    <t>Dividends declared:</t>
  </si>
  <si>
    <t>CommonStock</t>
  </si>
  <si>
    <t>Class BCommonStock</t>
  </si>
  <si>
    <t>RetainedEarnings</t>
  </si>
  <si>
    <t>AccumulatedOtherComprehensiveLoss</t>
  </si>
  <si>
    <t>TreasuryStock -CommonStock</t>
  </si>
  <si>
    <t>TreasuryStock -Class BCommonStock</t>
  </si>
  <si>
    <t>TotalEquity</t>
  </si>
  <si>
    <t>Common Stock ($4.50per share)</t>
  </si>
  <si>
    <t>Class B Common Stock ($4.50per share)</t>
  </si>
  <si>
    <t>Conversion of1,227,546shares of Class B Common Stock</t>
  </si>
  <si>
    <t>Opening Balance</t>
  </si>
  <si>
    <t>Closing Balance</t>
  </si>
  <si>
    <t>Share repurchases(1)</t>
  </si>
  <si>
    <t>Deferred Revenue Schedule</t>
  </si>
  <si>
    <t>11/25/2025</t>
  </si>
  <si>
    <t>Senior notes</t>
  </si>
  <si>
    <t>3/21/2030</t>
  </si>
  <si>
    <t>Debt issuance costs</t>
  </si>
  <si>
    <t>Total debt</t>
  </si>
  <si>
    <t>Total long-term debt</t>
  </si>
  <si>
    <t>Interest Rate</t>
  </si>
  <si>
    <t>2/27/2023</t>
  </si>
  <si>
    <t>Sep 1, 2025</t>
  </si>
  <si>
    <t>Aug 1, 2025</t>
  </si>
  <si>
    <t>Jul 1, 2025</t>
  </si>
  <si>
    <t>Jun 1, 2025</t>
  </si>
  <si>
    <t>May 1, 2025</t>
  </si>
  <si>
    <t>Apr 1, 2025</t>
  </si>
  <si>
    <t>Mar 1, 2025</t>
  </si>
  <si>
    <t>Feb 1, 2025</t>
  </si>
  <si>
    <t>Jan 1, 2025</t>
  </si>
  <si>
    <t>Dec 1, 2024</t>
  </si>
  <si>
    <t>Nov 1, 2024</t>
  </si>
  <si>
    <t>Oct 1, 2024</t>
  </si>
  <si>
    <t>Sep 1, 2024</t>
  </si>
  <si>
    <t>Aug 1, 2024</t>
  </si>
  <si>
    <t>Jul 1, 2024</t>
  </si>
  <si>
    <t>Jun 1, 2024</t>
  </si>
  <si>
    <t>May 1, 2024</t>
  </si>
  <si>
    <t>Apr 1, 2024</t>
  </si>
  <si>
    <t>Mar 1, 2024</t>
  </si>
  <si>
    <t>Feb 1, 2024</t>
  </si>
  <si>
    <t>Jan 1, 2024</t>
  </si>
  <si>
    <t>Dec 1, 2023</t>
  </si>
  <si>
    <t>Nov 1, 2023</t>
  </si>
  <si>
    <t>Oct 1, 2023</t>
  </si>
  <si>
    <t>Sep 1, 2023</t>
  </si>
  <si>
    <t>Aug 1, 2023</t>
  </si>
  <si>
    <t>Jul 1, 2023</t>
  </si>
  <si>
    <t>Jun 1, 2023</t>
  </si>
  <si>
    <t>May 1, 2023</t>
  </si>
  <si>
    <t>Apr 1, 2023</t>
  </si>
  <si>
    <t>Mar 1, 2023</t>
  </si>
  <si>
    <t>Feb 1, 2023</t>
  </si>
  <si>
    <t>Jan 1, 2023</t>
  </si>
  <si>
    <t>Dec 1, 2022</t>
  </si>
  <si>
    <t>Nov 1, 2022</t>
  </si>
  <si>
    <t>Oct 1, 2022</t>
  </si>
  <si>
    <t>Sep 1, 2022</t>
  </si>
  <si>
    <t>Aug 1, 2022</t>
  </si>
  <si>
    <t>Jul 1, 2022</t>
  </si>
  <si>
    <t>Jun 1, 2022</t>
  </si>
  <si>
    <t>May 1, 2022</t>
  </si>
  <si>
    <t>Apr 1, 2022</t>
  </si>
  <si>
    <t>Mar 1, 2022</t>
  </si>
  <si>
    <t>Feb 1, 2022</t>
  </si>
  <si>
    <t>Jan 1, 2022</t>
  </si>
  <si>
    <t>Dec 1, 2021</t>
  </si>
  <si>
    <t>Nov 1, 2021</t>
  </si>
  <si>
    <t>Oct 1, 2021</t>
  </si>
  <si>
    <t>Sep 1, 2021</t>
  </si>
  <si>
    <t>Aug 1, 2021</t>
  </si>
  <si>
    <t>Jul 1, 2021</t>
  </si>
  <si>
    <t>Jun 1, 2021</t>
  </si>
  <si>
    <t>May 1, 2021</t>
  </si>
  <si>
    <t>Apr 1, 2021</t>
  </si>
  <si>
    <t>Mar 1, 2021</t>
  </si>
  <si>
    <t>Feb 1, 2021</t>
  </si>
  <si>
    <t>Jan 1, 2021</t>
  </si>
  <si>
    <t>Dec 1, 2020</t>
  </si>
  <si>
    <t>Nov 1, 2020</t>
  </si>
  <si>
    <t>Oct 1, 2020</t>
  </si>
  <si>
    <t>Date</t>
  </si>
  <si>
    <t>Adj Close </t>
  </si>
  <si>
    <t>% Return</t>
  </si>
  <si>
    <t>S&amp;P 500</t>
  </si>
  <si>
    <t>%Return</t>
  </si>
  <si>
    <t>Beta (Slope)</t>
  </si>
  <si>
    <t>Beta (Covar)</t>
  </si>
  <si>
    <t>CAGR</t>
  </si>
  <si>
    <t>Coca-Cola INC(COKE)</t>
  </si>
  <si>
    <t>∆Current Assets</t>
  </si>
  <si>
    <t>∆Current Liabilities</t>
  </si>
  <si>
    <t>Net Working Capital</t>
  </si>
  <si>
    <t>Working Capital</t>
  </si>
  <si>
    <t>∆Working Capital</t>
  </si>
  <si>
    <t>S.NO.</t>
  </si>
  <si>
    <t>Company Name</t>
  </si>
  <si>
    <t xml:space="preserve">Country </t>
  </si>
  <si>
    <t>Total Debt</t>
  </si>
  <si>
    <t>Total Equity</t>
  </si>
  <si>
    <t>Tax Rate</t>
  </si>
  <si>
    <t>Debt/Equity</t>
  </si>
  <si>
    <t>Debt/Capital</t>
  </si>
  <si>
    <t>Levered Beta</t>
  </si>
  <si>
    <t>Unlevered Beta</t>
  </si>
  <si>
    <t>Mean(Average)</t>
  </si>
  <si>
    <t>Median</t>
  </si>
  <si>
    <t>Coca-Cola</t>
  </si>
  <si>
    <t>US</t>
  </si>
  <si>
    <t>P&amp;G</t>
  </si>
  <si>
    <t>PepsiCo</t>
  </si>
  <si>
    <t>Philip Morris International</t>
  </si>
  <si>
    <t>Altria</t>
  </si>
  <si>
    <t>PG</t>
  </si>
  <si>
    <t>PEP</t>
  </si>
  <si>
    <t>PM</t>
  </si>
  <si>
    <t>MO</t>
  </si>
  <si>
    <t xml:space="preserve">Cost of Debt </t>
  </si>
  <si>
    <t>Cost of Equity</t>
  </si>
  <si>
    <t>Cost of Prefernce</t>
  </si>
  <si>
    <t>Cost of Pre-Tax Debt</t>
  </si>
  <si>
    <t>Less - Tax Rate</t>
  </si>
  <si>
    <t>Post Tax Cost of Debt</t>
  </si>
  <si>
    <t>Risk Free Rate of Return</t>
  </si>
  <si>
    <t>Market Rate of Return</t>
  </si>
  <si>
    <t>Cost of Prefernce Share</t>
  </si>
  <si>
    <t>Capital Structure</t>
  </si>
  <si>
    <t>Weight</t>
  </si>
  <si>
    <t>Target</t>
  </si>
  <si>
    <t>Debt</t>
  </si>
  <si>
    <t>Equity</t>
  </si>
  <si>
    <t>Prefernce Share</t>
  </si>
  <si>
    <t>Total</t>
  </si>
  <si>
    <t>WACC Calculation</t>
  </si>
  <si>
    <t>Cost of Debt</t>
  </si>
  <si>
    <t>Weight of Debt</t>
  </si>
  <si>
    <t>Cost of Preference</t>
  </si>
  <si>
    <t>Weight of Prefernce</t>
  </si>
  <si>
    <t>WACC CALCULATION</t>
  </si>
  <si>
    <t>Weighted Average Cost of Capital</t>
  </si>
  <si>
    <t>Performace Managemet</t>
  </si>
  <si>
    <t>Trend Line</t>
  </si>
  <si>
    <t>Industry</t>
  </si>
  <si>
    <t>Vs Industry</t>
  </si>
  <si>
    <t>Growth % Ratios:</t>
  </si>
  <si>
    <t>YoY Revenue Growth %</t>
  </si>
  <si>
    <t>YoY Operating Profit Growth %</t>
  </si>
  <si>
    <t>YoY Net Profit Growth %</t>
  </si>
  <si>
    <t>Profitability Ratios:</t>
  </si>
  <si>
    <t>Gross Profit Margin</t>
  </si>
  <si>
    <t>Operating Profit Margin</t>
  </si>
  <si>
    <t>Net Profit Margin</t>
  </si>
  <si>
    <t>Return Ratios:</t>
  </si>
  <si>
    <t>Return on Equity</t>
  </si>
  <si>
    <t>Return on Capital Employed</t>
  </si>
  <si>
    <t>Return on Invested Capital</t>
  </si>
  <si>
    <t>Return on Assets</t>
  </si>
  <si>
    <t>Liquidity Ratios:</t>
  </si>
  <si>
    <t>Current Ratio</t>
  </si>
  <si>
    <t>Quick/Liquid Ratio</t>
  </si>
  <si>
    <t>Cash Ratio</t>
  </si>
  <si>
    <t>Efficiency Ratios:</t>
  </si>
  <si>
    <t>Accounts Receivable Turnover Ratio</t>
  </si>
  <si>
    <t>Accounts Receivable Turnover (Days)</t>
  </si>
  <si>
    <t>Inventory Turnover Ratio</t>
  </si>
  <si>
    <t>Inventory Turnover (Days)</t>
  </si>
  <si>
    <t>Accounts Payable Turnover Ratio</t>
  </si>
  <si>
    <t>Accounts Payable Turnover (Days)</t>
  </si>
  <si>
    <t>Assets Turnover Ratio</t>
  </si>
  <si>
    <t>Cash Conversion Cycle (Days)</t>
  </si>
  <si>
    <t>Leverage Ratio</t>
  </si>
  <si>
    <t>Debt to Equity Ratio</t>
  </si>
  <si>
    <t>Debt to Asset Ratio</t>
  </si>
  <si>
    <t>Interest Coverage Ratio</t>
  </si>
  <si>
    <t>Debt Service Coverage Ratio</t>
  </si>
  <si>
    <t>Market Value Ratios:</t>
  </si>
  <si>
    <t>PE -(Price Per Share/Earning Per Share)</t>
  </si>
  <si>
    <t>Price per Share</t>
  </si>
  <si>
    <t>Earning per Share</t>
  </si>
  <si>
    <t>PB -(Price per share/Book Value Per Share)</t>
  </si>
  <si>
    <t>Price Per Share</t>
  </si>
  <si>
    <t>Book Value Per Share</t>
  </si>
  <si>
    <t>PS -(Price Per Share/Sales Per Share)</t>
  </si>
  <si>
    <t>Sales Per Share</t>
  </si>
  <si>
    <t>EnterPrise Value (EV)</t>
  </si>
  <si>
    <t>Market Value of Equity (Market Cap)</t>
  </si>
  <si>
    <t>Number of O/S Shares</t>
  </si>
  <si>
    <t>(+) Debt</t>
  </si>
  <si>
    <t>(+) Non Controlling Interest</t>
  </si>
  <si>
    <t>(+) Preference Share</t>
  </si>
  <si>
    <t>(-) Marketable Securities/Investments</t>
  </si>
  <si>
    <t>(-) Cash</t>
  </si>
  <si>
    <t>EV/EBIT</t>
  </si>
  <si>
    <t>EV/EBITDA</t>
  </si>
  <si>
    <t>(+) EBIT</t>
  </si>
  <si>
    <t>(+)Depreciation and Amortization</t>
  </si>
  <si>
    <t>EBITDA</t>
  </si>
  <si>
    <t>EV/Net Profit</t>
  </si>
  <si>
    <t>EV/Sales</t>
  </si>
  <si>
    <t>Return on Equity(ROE)</t>
  </si>
  <si>
    <t>3 Stages of Dupont Analysis:</t>
  </si>
  <si>
    <t>ROE</t>
  </si>
  <si>
    <t>NET PROFIT MARGIN RATIO</t>
  </si>
  <si>
    <t>NET PROFIT</t>
  </si>
  <si>
    <t>SALES</t>
  </si>
  <si>
    <t>ASSETS TURNOVER RATIO</t>
  </si>
  <si>
    <t xml:space="preserve">ASSETS </t>
  </si>
  <si>
    <t>FINANCIAL LEVERAGE RATIO</t>
  </si>
  <si>
    <t>AVERAGE EQUITY</t>
  </si>
  <si>
    <t>5 Stages of Dupont Analysis:</t>
  </si>
  <si>
    <t>OPERATING PROFIT MARGIN</t>
  </si>
  <si>
    <t>EBIT</t>
  </si>
  <si>
    <t>TAX BURDEN</t>
  </si>
  <si>
    <t xml:space="preserve">NET PROFIT </t>
  </si>
  <si>
    <t>EBT</t>
  </si>
  <si>
    <t>INTEREST BURDEN</t>
  </si>
  <si>
    <t>ASSET TURNOVER RATIO</t>
  </si>
  <si>
    <t>ASSET</t>
  </si>
  <si>
    <t>Dupont Analysis</t>
  </si>
  <si>
    <t>Ratios</t>
  </si>
  <si>
    <t>Revenue Driver</t>
  </si>
  <si>
    <t>Discounted Cash Flow</t>
  </si>
  <si>
    <t>Terminal Value(TV)</t>
  </si>
  <si>
    <t>ADJUST-TAX</t>
  </si>
  <si>
    <t>NOTPAT/NOPLAT</t>
  </si>
  <si>
    <t>(+)Depreciation &amp; Amortization</t>
  </si>
  <si>
    <t>(-)Capex (Capital Expenditure)</t>
  </si>
  <si>
    <r>
      <t xml:space="preserve"> </t>
    </r>
    <r>
      <rPr>
        <sz val="11"/>
        <color theme="1"/>
        <rFont val="Calibri"/>
        <family val="2"/>
      </rPr>
      <t>∆</t>
    </r>
    <r>
      <rPr>
        <sz val="11"/>
        <color theme="1"/>
        <rFont val="Calibri"/>
        <family val="2"/>
        <scheme val="minor"/>
      </rPr>
      <t>Working Capital</t>
    </r>
  </si>
  <si>
    <t>Free Cash Flow to Firm(FCFF)</t>
  </si>
  <si>
    <t>(-)Interest Expenses</t>
  </si>
  <si>
    <t>(+)Net Debt Issuance(Issuance-Repayment)</t>
  </si>
  <si>
    <t>Free Cash Flow to Equity(FCFE)</t>
  </si>
  <si>
    <t>Decline Stage</t>
  </si>
  <si>
    <t>Constant Growth % (G)</t>
  </si>
  <si>
    <t>WACC</t>
  </si>
  <si>
    <t>Year</t>
  </si>
  <si>
    <t>Net Present Value(NPV)</t>
  </si>
  <si>
    <t>Fair Value of Enterprise Value</t>
  </si>
  <si>
    <t>(-)Debt</t>
  </si>
  <si>
    <t>(-)Preference Share</t>
  </si>
  <si>
    <t>(-)Non Controlling Interest</t>
  </si>
  <si>
    <t>(+)Investment</t>
  </si>
  <si>
    <t>(+)Cash and Cash Equivalents</t>
  </si>
  <si>
    <t>Fair Value of Equity</t>
  </si>
  <si>
    <t>Fair Value of Share</t>
  </si>
  <si>
    <t>PE Ratio</t>
  </si>
  <si>
    <t>PB Ratio</t>
  </si>
  <si>
    <t>2024A</t>
  </si>
  <si>
    <t>2025E</t>
  </si>
  <si>
    <t>Relative Valuation</t>
  </si>
  <si>
    <t>Cost Driver</t>
  </si>
  <si>
    <t>Cost of Sales as % of Net Sales</t>
  </si>
  <si>
    <t>in Normal Case Scenario</t>
  </si>
  <si>
    <t>in Best Case Scenario</t>
  </si>
  <si>
    <t>in Worst Case Scenario</t>
  </si>
  <si>
    <t>Selling, delivery and administrative expenses as % of Net Sales</t>
  </si>
  <si>
    <t>Interest expense (income), net as % of Revenue</t>
  </si>
  <si>
    <t>Mark-to-market on acquisition related contingent consideration as % of Revenue</t>
  </si>
  <si>
    <t>Pension plan settlement expense as % of Revenue</t>
  </si>
  <si>
    <t>Other expense, net as % of Revenue</t>
  </si>
  <si>
    <t>Income tax expense as % of PBT</t>
  </si>
  <si>
    <t>Assets</t>
  </si>
  <si>
    <t>Liabilities</t>
  </si>
  <si>
    <t>Short-term investments as % of Revenue</t>
  </si>
  <si>
    <t>Accounts receivable, trade as % of Revenue</t>
  </si>
  <si>
    <t>Allowance for doubtful accounts as % of Revenue</t>
  </si>
  <si>
    <t>Accounts receivable from The Coca-Cola Company as % of Revenue</t>
  </si>
  <si>
    <t>Accounts receivable, other as % of Revenue</t>
  </si>
  <si>
    <t>Inventories as % of COGS</t>
  </si>
  <si>
    <t>Prepaid expenses and other current assets as % of Revenue</t>
  </si>
  <si>
    <t>Other assets as % of Revenue</t>
  </si>
  <si>
    <t>Distribution agreements, net as % of Revenue</t>
  </si>
  <si>
    <t>Customer lists, net as % of Revenue</t>
  </si>
  <si>
    <t>Other accrued liabilities as % of Revenue</t>
  </si>
  <si>
    <t>Accrued compensation as % of Revenue</t>
  </si>
  <si>
    <t>Accrued interest payable as % of Revenue</t>
  </si>
  <si>
    <t>Dividends payable as % of Revenue</t>
  </si>
  <si>
    <t>Deferred income taxes as % of Revenue</t>
  </si>
  <si>
    <t>Pension and postretirement benefit obligations as % of Revenue</t>
  </si>
  <si>
    <t>Other liabilities as % of Revenue</t>
  </si>
  <si>
    <t>Accounts payable, trade as % of COGS</t>
  </si>
  <si>
    <t>Accounts payable to The Coca-Cola Company as % of COGS</t>
  </si>
  <si>
    <t>Senior notes(1)</t>
  </si>
  <si>
    <t>Unamortized discount on senior bonds</t>
  </si>
  <si>
    <t>Senior bonds (the “2034 Senior Bonds”)</t>
  </si>
  <si>
    <t>Senior bonds (the “2029 Senior Bonds”)</t>
  </si>
  <si>
    <t>Senior bonds (the “2025 Senior Bonds”)</t>
  </si>
  <si>
    <t>Less: Current portion of debt</t>
  </si>
  <si>
    <t>Current Portion of Debt as %</t>
  </si>
  <si>
    <t>(+)Issuance</t>
  </si>
  <si>
    <t>(-)Repayment</t>
  </si>
  <si>
    <t>Repayment Expense</t>
  </si>
  <si>
    <t>Total Issuance</t>
  </si>
  <si>
    <t>Total Repayment</t>
  </si>
  <si>
    <t>Net Issuance/Repayment</t>
  </si>
  <si>
    <t>Total Interest Expense</t>
  </si>
  <si>
    <t>Worst</t>
  </si>
  <si>
    <t>1.76x</t>
  </si>
  <si>
    <t>Better</t>
  </si>
  <si>
    <t>1.17x</t>
  </si>
  <si>
    <t>0.53x</t>
  </si>
  <si>
    <t>73.82Days</t>
  </si>
  <si>
    <t>64.86Days</t>
  </si>
  <si>
    <t>0.29x</t>
  </si>
  <si>
    <t>14.86x</t>
  </si>
  <si>
    <t>1.58x</t>
  </si>
  <si>
    <t>2.46x</t>
  </si>
  <si>
    <t>17.64x</t>
  </si>
  <si>
    <t>13.35x</t>
  </si>
  <si>
    <t>9.83x</t>
  </si>
  <si>
    <t>(TV)</t>
  </si>
  <si>
    <t>DCF</t>
  </si>
  <si>
    <t>CMP</t>
  </si>
  <si>
    <t>Growth Stage</t>
  </si>
  <si>
    <t>Maturity Stage</t>
  </si>
  <si>
    <t>Sensitivity Analysis</t>
  </si>
  <si>
    <t>Constant Growth Rate</t>
  </si>
  <si>
    <t>Industry Avg. PE</t>
  </si>
  <si>
    <t>Industry Avg. PB</t>
  </si>
  <si>
    <t>Industry Avg. EV/EBITDA</t>
  </si>
  <si>
    <t>EV</t>
  </si>
  <si>
    <t>Market Value</t>
  </si>
  <si>
    <t>No. of Shares (O/S)</t>
  </si>
  <si>
    <t>Weight Price</t>
  </si>
  <si>
    <t>Price Based on PE</t>
  </si>
  <si>
    <t>Price Based on PB</t>
  </si>
  <si>
    <t>Price Based on EBITDA</t>
  </si>
  <si>
    <t>Price Based on DCF</t>
  </si>
  <si>
    <t>Mean</t>
  </si>
  <si>
    <t>Assets Held for Sale</t>
  </si>
  <si>
    <t>Total Outstanding</t>
  </si>
  <si>
    <t>Split Shares 1:10</t>
  </si>
  <si>
    <t>Par</t>
  </si>
  <si>
    <t>Normal</t>
  </si>
  <si>
    <t>EPS</t>
  </si>
  <si>
    <t>BVPS</t>
  </si>
  <si>
    <t># Shares Outstanding</t>
  </si>
  <si>
    <t>Weight of Equity</t>
  </si>
  <si>
    <t>YoY Growth of Total 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</si>
</sst>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F800]dddd\,\ mmmm\ dd\,\ yyyy"/>
    <numFmt numFmtId="165" formatCode="dd\/mmm\/yyyy"/>
    <numFmt numFmtId="166" formatCode="0.00&quot;x&quot;"/>
    <numFmt numFmtId="167" formatCode="0.00&quot;Days&quot;"/>
    <numFmt numFmtId="168" formatCode="[$$-409]#,##0.00"/>
  </numFmts>
  <fonts count="3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b/>
      <u/>
      <sz val="9"/>
      <color rgb="FF000000"/>
      <name val="Times New Roman"/>
      <family val="1"/>
    </font>
    <font>
      <sz val="9"/>
      <color rgb="FF000000"/>
      <name val="Times New Roman"/>
      <family val="1"/>
    </font>
    <font>
      <sz val="14"/>
      <color rgb="FF212529"/>
      <name val="Unset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Times New Roman"/>
      <family val="1"/>
    </font>
    <font>
      <i/>
      <sz val="10"/>
      <color theme="8"/>
      <name val="Times New Roman"/>
      <family val="1"/>
    </font>
    <font>
      <i/>
      <sz val="11"/>
      <color theme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rgb="FF000000"/>
      <name val="Revert-layer"/>
    </font>
    <font>
      <b/>
      <sz val="10"/>
      <color rgb="FF000000"/>
      <name val="Revert-layer"/>
    </font>
    <font>
      <i/>
      <sz val="10"/>
      <color rgb="FF00B0F0"/>
      <name val="Times New Roman"/>
      <family val="1"/>
    </font>
    <font>
      <i/>
      <sz val="10"/>
      <color rgb="FF00B0F0"/>
      <name val="Revert-layer"/>
    </font>
    <font>
      <i/>
      <sz val="11"/>
      <color rgb="FF00B0F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u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1"/>
      <color rgb="FF00B0F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 style="mediumDashDot">
        <color auto="1"/>
      </right>
      <top style="thin">
        <color auto="1"/>
      </top>
      <bottom style="thin">
        <color auto="1"/>
      </bottom>
      <diagonal/>
    </border>
    <border>
      <left style="mediumDashDot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indexed="64"/>
      </top>
      <bottom style="double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/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 style="mediumDashed">
        <color auto="1"/>
      </top>
      <bottom/>
      <diagonal/>
    </border>
    <border>
      <left/>
      <right/>
      <top/>
      <bottom style="mediumDashed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1" fillId="0" borderId="0" applyFont="0" applyFill="0" applyBorder="0" applyAlignment="0" applyProtection="0"/>
  </cellStyleXfs>
  <cellXfs count="284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1" xfId="0" applyBorder="1"/>
    <xf numFmtId="0" fontId="0" fillId="2" borderId="0" xfId="0" applyFill="1"/>
    <xf numFmtId="0" fontId="2" fillId="0" borderId="0" xfId="0" applyFont="1"/>
    <xf numFmtId="0" fontId="1" fillId="0" borderId="0" xfId="0" applyFont="1"/>
    <xf numFmtId="164" fontId="0" fillId="0" borderId="2" xfId="0" applyNumberFormat="1" applyBorder="1" applyAlignment="1">
      <alignment horizontal="left"/>
    </xf>
    <xf numFmtId="0" fontId="4" fillId="0" borderId="0" xfId="0" applyFont="1" applyAlignment="1">
      <alignment vertical="center"/>
    </xf>
    <xf numFmtId="0" fontId="6" fillId="0" borderId="0" xfId="0" applyFont="1" applyAlignment="1">
      <alignment horizontal="right"/>
    </xf>
    <xf numFmtId="0" fontId="4" fillId="0" borderId="4" xfId="0" applyFont="1" applyBorder="1" applyAlignment="1">
      <alignment vertical="center"/>
    </xf>
    <xf numFmtId="0" fontId="6" fillId="0" borderId="0" xfId="0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/>
    <xf numFmtId="0" fontId="6" fillId="0" borderId="5" xfId="0" applyFont="1" applyBorder="1"/>
    <xf numFmtId="3" fontId="6" fillId="0" borderId="5" xfId="0" applyNumberFormat="1" applyFont="1" applyBorder="1"/>
    <xf numFmtId="3" fontId="6" fillId="0" borderId="0" xfId="0" applyNumberFormat="1" applyFont="1"/>
    <xf numFmtId="3" fontId="5" fillId="0" borderId="3" xfId="0" applyNumberFormat="1" applyFont="1" applyBorder="1" applyAlignment="1">
      <alignment horizontal="right"/>
    </xf>
    <xf numFmtId="0" fontId="5" fillId="0" borderId="0" xfId="0" applyFont="1"/>
    <xf numFmtId="3" fontId="6" fillId="0" borderId="0" xfId="0" applyNumberFormat="1" applyFont="1" applyAlignment="1">
      <alignment horizontal="right"/>
    </xf>
    <xf numFmtId="0" fontId="6" fillId="0" borderId="0" xfId="0" applyFont="1" applyAlignment="1">
      <alignment wrapText="1"/>
    </xf>
    <xf numFmtId="0" fontId="7" fillId="0" borderId="0" xfId="0" applyFont="1" applyAlignment="1">
      <alignment vertical="top"/>
    </xf>
    <xf numFmtId="0" fontId="9" fillId="0" borderId="0" xfId="0" applyFont="1"/>
    <xf numFmtId="0" fontId="9" fillId="0" borderId="0" xfId="0" applyFont="1" applyAlignment="1">
      <alignment vertical="top"/>
    </xf>
    <xf numFmtId="3" fontId="9" fillId="0" borderId="0" xfId="0" applyNumberFormat="1" applyFont="1"/>
    <xf numFmtId="0" fontId="8" fillId="0" borderId="0" xfId="0" applyFont="1" applyAlignment="1">
      <alignment vertical="top"/>
    </xf>
    <xf numFmtId="0" fontId="7" fillId="0" borderId="0" xfId="0" applyFont="1"/>
    <xf numFmtId="3" fontId="5" fillId="0" borderId="6" xfId="0" applyNumberFormat="1" applyFont="1" applyBorder="1"/>
    <xf numFmtId="3" fontId="5" fillId="0" borderId="7" xfId="0" applyNumberFormat="1" applyFont="1" applyBorder="1" applyAlignment="1">
      <alignment horizontal="right"/>
    </xf>
    <xf numFmtId="3" fontId="7" fillId="0" borderId="6" xfId="0" applyNumberFormat="1" applyFont="1" applyBorder="1"/>
    <xf numFmtId="3" fontId="7" fillId="0" borderId="7" xfId="0" applyNumberFormat="1" applyFont="1" applyBorder="1" applyAlignment="1">
      <alignment horizontal="right"/>
    </xf>
    <xf numFmtId="3" fontId="7" fillId="0" borderId="7" xfId="0" applyNumberFormat="1" applyFont="1" applyBorder="1"/>
    <xf numFmtId="3" fontId="7" fillId="0" borderId="8" xfId="0" applyNumberFormat="1" applyFont="1" applyBorder="1"/>
    <xf numFmtId="3" fontId="0" fillId="2" borderId="0" xfId="0" applyNumberFormat="1" applyFill="1"/>
    <xf numFmtId="0" fontId="0" fillId="0" borderId="9" xfId="0" applyBorder="1"/>
    <xf numFmtId="3" fontId="0" fillId="0" borderId="10" xfId="0" applyNumberFormat="1" applyBorder="1"/>
    <xf numFmtId="3" fontId="0" fillId="2" borderId="10" xfId="0" applyNumberFormat="1" applyFill="1" applyBorder="1"/>
    <xf numFmtId="3" fontId="0" fillId="2" borderId="11" xfId="0" applyNumberFormat="1" applyFill="1" applyBorder="1"/>
    <xf numFmtId="3" fontId="1" fillId="2" borderId="7" xfId="0" applyNumberFormat="1" applyFont="1" applyFill="1" applyBorder="1"/>
    <xf numFmtId="3" fontId="5" fillId="0" borderId="0" xfId="0" applyNumberFormat="1" applyFont="1" applyAlignment="1">
      <alignment horizontal="right"/>
    </xf>
    <xf numFmtId="3" fontId="1" fillId="2" borderId="6" xfId="0" applyNumberFormat="1" applyFont="1" applyFill="1" applyBorder="1"/>
    <xf numFmtId="0" fontId="9" fillId="3" borderId="0" xfId="0" applyFont="1" applyFill="1" applyAlignment="1">
      <alignment vertical="top"/>
    </xf>
    <xf numFmtId="3" fontId="9" fillId="3" borderId="0" xfId="0" applyNumberFormat="1" applyFont="1" applyFill="1" applyAlignment="1">
      <alignment horizontal="right"/>
    </xf>
    <xf numFmtId="0" fontId="0" fillId="3" borderId="0" xfId="0" applyFill="1"/>
    <xf numFmtId="3" fontId="9" fillId="3" borderId="0" xfId="0" applyNumberFormat="1" applyFont="1" applyFill="1"/>
    <xf numFmtId="0" fontId="9" fillId="3" borderId="0" xfId="0" applyFont="1" applyFill="1"/>
    <xf numFmtId="0" fontId="9" fillId="3" borderId="0" xfId="0" applyFont="1" applyFill="1" applyAlignment="1">
      <alignment vertical="center"/>
    </xf>
    <xf numFmtId="3" fontId="0" fillId="3" borderId="0" xfId="0" applyNumberFormat="1" applyFill="1"/>
    <xf numFmtId="3" fontId="1" fillId="2" borderId="8" xfId="0" applyNumberFormat="1" applyFont="1" applyFill="1" applyBorder="1"/>
    <xf numFmtId="0" fontId="9" fillId="4" borderId="0" xfId="0" applyFont="1" applyFill="1" applyAlignment="1">
      <alignment vertical="top"/>
    </xf>
    <xf numFmtId="3" fontId="9" fillId="4" borderId="0" xfId="0" applyNumberFormat="1" applyFont="1" applyFill="1"/>
    <xf numFmtId="3" fontId="0" fillId="4" borderId="0" xfId="0" applyNumberFormat="1" applyFill="1"/>
    <xf numFmtId="3" fontId="0" fillId="2" borderId="0" xfId="0" applyNumberFormat="1" applyFill="1" applyAlignment="1">
      <alignment wrapText="1"/>
    </xf>
    <xf numFmtId="3" fontId="1" fillId="2" borderId="0" xfId="0" applyNumberFormat="1" applyFont="1" applyFill="1"/>
    <xf numFmtId="3" fontId="9" fillId="5" borderId="0" xfId="0" applyNumberFormat="1" applyFont="1" applyFill="1"/>
    <xf numFmtId="0" fontId="10" fillId="0" borderId="0" xfId="0" applyFont="1" applyAlignment="1">
      <alignment vertical="center"/>
    </xf>
    <xf numFmtId="0" fontId="13" fillId="0" borderId="0" xfId="0" applyFont="1"/>
    <xf numFmtId="3" fontId="13" fillId="0" borderId="0" xfId="0" applyNumberFormat="1" applyFont="1"/>
    <xf numFmtId="0" fontId="1" fillId="2" borderId="6" xfId="0" applyFont="1" applyFill="1" applyBorder="1"/>
    <xf numFmtId="0" fontId="14" fillId="0" borderId="0" xfId="0" applyFont="1"/>
    <xf numFmtId="3" fontId="14" fillId="0" borderId="0" xfId="0" applyNumberFormat="1" applyFont="1"/>
    <xf numFmtId="10" fontId="14" fillId="0" borderId="0" xfId="1" applyNumberFormat="1" applyFont="1"/>
    <xf numFmtId="0" fontId="5" fillId="0" borderId="6" xfId="0" applyFont="1" applyBorder="1"/>
    <xf numFmtId="3" fontId="5" fillId="0" borderId="12" xfId="0" applyNumberFormat="1" applyFont="1" applyBorder="1"/>
    <xf numFmtId="3" fontId="5" fillId="0" borderId="13" xfId="0" applyNumberFormat="1" applyFont="1" applyBorder="1"/>
    <xf numFmtId="3" fontId="5" fillId="0" borderId="13" xfId="0" applyNumberFormat="1" applyFont="1" applyBorder="1" applyAlignment="1">
      <alignment horizontal="right"/>
    </xf>
    <xf numFmtId="0" fontId="16" fillId="0" borderId="0" xfId="0" applyFont="1"/>
    <xf numFmtId="3" fontId="16" fillId="0" borderId="0" xfId="0" applyNumberFormat="1" applyFont="1"/>
    <xf numFmtId="10" fontId="16" fillId="0" borderId="0" xfId="1" applyNumberFormat="1" applyFont="1"/>
    <xf numFmtId="2" fontId="16" fillId="0" borderId="0" xfId="1" applyNumberFormat="1" applyFont="1"/>
    <xf numFmtId="10" fontId="15" fillId="2" borderId="0" xfId="0" applyNumberFormat="1" applyFont="1" applyFill="1"/>
    <xf numFmtId="2" fontId="1" fillId="2" borderId="0" xfId="0" applyNumberFormat="1" applyFont="1" applyFill="1"/>
    <xf numFmtId="3" fontId="12" fillId="2" borderId="0" xfId="0" applyNumberFormat="1" applyFont="1" applyFill="1"/>
    <xf numFmtId="10" fontId="15" fillId="2" borderId="0" xfId="1" applyNumberFormat="1" applyFont="1" applyFill="1"/>
    <xf numFmtId="10" fontId="15" fillId="0" borderId="0" xfId="1" applyNumberFormat="1" applyFont="1"/>
    <xf numFmtId="0" fontId="7" fillId="0" borderId="7" xfId="0" applyFont="1" applyBorder="1" applyAlignment="1">
      <alignment vertical="top"/>
    </xf>
    <xf numFmtId="0" fontId="7" fillId="0" borderId="6" xfId="0" applyFont="1" applyBorder="1" applyAlignment="1">
      <alignment vertical="top"/>
    </xf>
    <xf numFmtId="0" fontId="2" fillId="6" borderId="0" xfId="0" applyFont="1" applyFill="1" applyAlignment="1">
      <alignment horizontal="left"/>
    </xf>
    <xf numFmtId="0" fontId="0" fillId="6" borderId="0" xfId="0" applyFill="1"/>
    <xf numFmtId="165" fontId="2" fillId="6" borderId="0" xfId="0" applyNumberFormat="1" applyFont="1" applyFill="1"/>
    <xf numFmtId="0" fontId="0" fillId="7" borderId="0" xfId="0" applyFill="1"/>
    <xf numFmtId="0" fontId="3" fillId="6" borderId="0" xfId="0" applyFont="1" applyFill="1" applyAlignment="1">
      <alignment horizontal="center"/>
    </xf>
    <xf numFmtId="0" fontId="5" fillId="0" borderId="7" xfId="0" applyFont="1" applyBorder="1"/>
    <xf numFmtId="3" fontId="17" fillId="0" borderId="0" xfId="0" applyNumberFormat="1" applyFont="1" applyAlignment="1">
      <alignment horizontal="right"/>
    </xf>
    <xf numFmtId="3" fontId="17" fillId="0" borderId="0" xfId="0" applyNumberFormat="1" applyFont="1"/>
    <xf numFmtId="3" fontId="18" fillId="0" borderId="0" xfId="0" applyNumberFormat="1" applyFont="1"/>
    <xf numFmtId="3" fontId="5" fillId="0" borderId="0" xfId="0" applyNumberFormat="1" applyFont="1"/>
    <xf numFmtId="3" fontId="18" fillId="0" borderId="0" xfId="0" applyNumberFormat="1" applyFont="1" applyAlignment="1">
      <alignment horizontal="right"/>
    </xf>
    <xf numFmtId="0" fontId="0" fillId="6" borderId="0" xfId="0" applyFill="1" applyAlignment="1">
      <alignment horizontal="center"/>
    </xf>
    <xf numFmtId="0" fontId="19" fillId="0" borderId="0" xfId="0" applyFont="1"/>
    <xf numFmtId="3" fontId="20" fillId="0" borderId="0" xfId="0" applyNumberFormat="1" applyFont="1" applyAlignment="1">
      <alignment horizontal="right"/>
    </xf>
    <xf numFmtId="10" fontId="20" fillId="0" borderId="0" xfId="1" applyNumberFormat="1" applyFont="1" applyFill="1" applyBorder="1" applyAlignment="1">
      <alignment horizontal="right"/>
    </xf>
    <xf numFmtId="10" fontId="19" fillId="0" borderId="0" xfId="1" applyNumberFormat="1" applyFont="1" applyFill="1" applyBorder="1" applyAlignment="1">
      <alignment horizontal="right"/>
    </xf>
    <xf numFmtId="10" fontId="21" fillId="2" borderId="0" xfId="1" applyNumberFormat="1" applyFont="1" applyFill="1"/>
    <xf numFmtId="3" fontId="20" fillId="0" borderId="0" xfId="0" applyNumberFormat="1" applyFont="1"/>
    <xf numFmtId="10" fontId="20" fillId="0" borderId="0" xfId="1" applyNumberFormat="1" applyFont="1" applyFill="1" applyBorder="1" applyAlignment="1"/>
    <xf numFmtId="10" fontId="19" fillId="0" borderId="0" xfId="1" applyNumberFormat="1" applyFont="1" applyFill="1" applyBorder="1" applyAlignment="1"/>
    <xf numFmtId="0" fontId="6" fillId="3" borderId="0" xfId="0" applyFont="1" applyFill="1"/>
    <xf numFmtId="3" fontId="18" fillId="3" borderId="0" xfId="0" applyNumberFormat="1" applyFont="1" applyFill="1"/>
    <xf numFmtId="3" fontId="17" fillId="3" borderId="0" xfId="0" applyNumberFormat="1" applyFont="1" applyFill="1"/>
    <xf numFmtId="3" fontId="6" fillId="3" borderId="0" xfId="0" applyNumberFormat="1" applyFont="1" applyFill="1"/>
    <xf numFmtId="0" fontId="5" fillId="3" borderId="0" xfId="0" applyFont="1" applyFill="1"/>
    <xf numFmtId="3" fontId="18" fillId="3" borderId="0" xfId="0" applyNumberFormat="1" applyFont="1" applyFill="1" applyAlignment="1">
      <alignment horizontal="right"/>
    </xf>
    <xf numFmtId="3" fontId="5" fillId="3" borderId="0" xfId="0" applyNumberFormat="1" applyFont="1" applyFill="1" applyAlignment="1">
      <alignment horizontal="right"/>
    </xf>
    <xf numFmtId="3" fontId="1" fillId="3" borderId="0" xfId="0" applyNumberFormat="1" applyFont="1" applyFill="1"/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3" fontId="22" fillId="0" borderId="0" xfId="0" applyNumberFormat="1" applyFont="1"/>
    <xf numFmtId="3" fontId="22" fillId="0" borderId="0" xfId="0" applyNumberFormat="1" applyFont="1" applyAlignment="1">
      <alignment horizontal="right"/>
    </xf>
    <xf numFmtId="0" fontId="22" fillId="0" borderId="0" xfId="0" applyFont="1"/>
    <xf numFmtId="0" fontId="22" fillId="0" borderId="0" xfId="0" applyFont="1" applyAlignment="1">
      <alignment horizontal="right"/>
    </xf>
    <xf numFmtId="0" fontId="23" fillId="3" borderId="0" xfId="0" applyFont="1" applyFill="1" applyAlignment="1">
      <alignment vertical="center"/>
    </xf>
    <xf numFmtId="3" fontId="23" fillId="3" borderId="0" xfId="0" applyNumberFormat="1" applyFont="1" applyFill="1" applyAlignment="1">
      <alignment horizontal="right"/>
    </xf>
    <xf numFmtId="0" fontId="23" fillId="3" borderId="0" xfId="0" applyFont="1" applyFill="1" applyAlignment="1">
      <alignment horizontal="right"/>
    </xf>
    <xf numFmtId="0" fontId="24" fillId="0" borderId="14" xfId="0" applyFont="1" applyBorder="1" applyAlignment="1">
      <alignment horizontal="left" vertical="center" wrapText="1"/>
    </xf>
    <xf numFmtId="0" fontId="24" fillId="0" borderId="14" xfId="0" applyFont="1" applyBorder="1" applyAlignment="1">
      <alignment horizontal="right" vertical="center" wrapText="1"/>
    </xf>
    <xf numFmtId="0" fontId="24" fillId="0" borderId="14" xfId="0" applyFont="1" applyBorder="1"/>
    <xf numFmtId="0" fontId="24" fillId="0" borderId="14" xfId="0" applyFont="1" applyBorder="1" applyAlignment="1">
      <alignment vertical="center" wrapText="1"/>
    </xf>
    <xf numFmtId="0" fontId="0" fillId="0" borderId="14" xfId="0" applyBorder="1"/>
    <xf numFmtId="4" fontId="24" fillId="0" borderId="14" xfId="0" applyNumberFormat="1" applyFont="1" applyBorder="1" applyAlignment="1">
      <alignment horizontal="right" vertical="center" wrapText="1"/>
    </xf>
    <xf numFmtId="10" fontId="24" fillId="0" borderId="14" xfId="1" applyNumberFormat="1" applyFont="1" applyBorder="1"/>
    <xf numFmtId="2" fontId="0" fillId="0" borderId="0" xfId="0" applyNumberFormat="1"/>
    <xf numFmtId="10" fontId="0" fillId="0" borderId="0" xfId="1" applyNumberFormat="1" applyFont="1"/>
    <xf numFmtId="0" fontId="23" fillId="0" borderId="0" xfId="0" applyFont="1" applyAlignment="1">
      <alignment vertical="top"/>
    </xf>
    <xf numFmtId="3" fontId="23" fillId="0" borderId="0" xfId="0" applyNumberFormat="1" applyFont="1"/>
    <xf numFmtId="0" fontId="23" fillId="0" borderId="6" xfId="0" applyFont="1" applyBorder="1" applyAlignment="1">
      <alignment vertical="top"/>
    </xf>
    <xf numFmtId="3" fontId="23" fillId="0" borderId="6" xfId="0" applyNumberFormat="1" applyFont="1" applyBorder="1"/>
    <xf numFmtId="0" fontId="25" fillId="0" borderId="0" xfId="0" applyFont="1"/>
    <xf numFmtId="0" fontId="26" fillId="0" borderId="0" xfId="0" applyFont="1" applyAlignment="1">
      <alignment vertical="top"/>
    </xf>
    <xf numFmtId="3" fontId="0" fillId="0" borderId="0" xfId="0" applyNumberFormat="1"/>
    <xf numFmtId="3" fontId="1" fillId="0" borderId="0" xfId="0" applyNumberFormat="1" applyFont="1"/>
    <xf numFmtId="0" fontId="0" fillId="8" borderId="14" xfId="0" applyFill="1" applyBorder="1"/>
    <xf numFmtId="0" fontId="0" fillId="0" borderId="15" xfId="0" applyBorder="1"/>
    <xf numFmtId="0" fontId="0" fillId="0" borderId="16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3" fontId="0" fillId="0" borderId="14" xfId="0" applyNumberFormat="1" applyBorder="1"/>
    <xf numFmtId="9" fontId="0" fillId="0" borderId="14" xfId="0" applyNumberFormat="1" applyBorder="1"/>
    <xf numFmtId="3" fontId="0" fillId="0" borderId="18" xfId="0" applyNumberFormat="1" applyBorder="1"/>
    <xf numFmtId="2" fontId="0" fillId="0" borderId="14" xfId="0" applyNumberFormat="1" applyBorder="1"/>
    <xf numFmtId="3" fontId="0" fillId="0" borderId="20" xfId="0" applyNumberFormat="1" applyBorder="1"/>
    <xf numFmtId="3" fontId="0" fillId="0" borderId="16" xfId="0" applyNumberFormat="1" applyBorder="1"/>
    <xf numFmtId="4" fontId="0" fillId="0" borderId="20" xfId="0" applyNumberFormat="1" applyBorder="1"/>
    <xf numFmtId="4" fontId="0" fillId="0" borderId="16" xfId="0" applyNumberFormat="1" applyBorder="1"/>
    <xf numFmtId="4" fontId="0" fillId="0" borderId="21" xfId="0" applyNumberFormat="1" applyBorder="1"/>
    <xf numFmtId="4" fontId="0" fillId="0" borderId="17" xfId="0" applyNumberFormat="1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9" borderId="29" xfId="0" applyFill="1" applyBorder="1"/>
    <xf numFmtId="0" fontId="0" fillId="9" borderId="24" xfId="0" applyFill="1" applyBorder="1"/>
    <xf numFmtId="10" fontId="0" fillId="0" borderId="0" xfId="1" applyNumberFormat="1" applyFont="1" applyBorder="1"/>
    <xf numFmtId="10" fontId="0" fillId="0" borderId="26" xfId="1" applyNumberFormat="1" applyFont="1" applyBorder="1"/>
    <xf numFmtId="3" fontId="0" fillId="0" borderId="30" xfId="0" applyNumberFormat="1" applyBorder="1"/>
    <xf numFmtId="9" fontId="0" fillId="0" borderId="30" xfId="1" applyFont="1" applyBorder="1"/>
    <xf numFmtId="10" fontId="0" fillId="0" borderId="28" xfId="1" applyNumberFormat="1" applyFont="1" applyBorder="1"/>
    <xf numFmtId="9" fontId="0" fillId="0" borderId="26" xfId="0" applyNumberFormat="1" applyBorder="1"/>
    <xf numFmtId="10" fontId="0" fillId="0" borderId="26" xfId="0" applyNumberFormat="1" applyBorder="1"/>
    <xf numFmtId="2" fontId="0" fillId="0" borderId="26" xfId="0" applyNumberFormat="1" applyBorder="1"/>
    <xf numFmtId="10" fontId="0" fillId="0" borderId="28" xfId="0" applyNumberFormat="1" applyBorder="1"/>
    <xf numFmtId="9" fontId="0" fillId="0" borderId="26" xfId="1" applyFont="1" applyFill="1" applyBorder="1"/>
    <xf numFmtId="0" fontId="1" fillId="0" borderId="31" xfId="0" applyFont="1" applyBorder="1"/>
    <xf numFmtId="10" fontId="1" fillId="0" borderId="22" xfId="0" applyNumberFormat="1" applyFont="1" applyBorder="1"/>
    <xf numFmtId="0" fontId="27" fillId="0" borderId="0" xfId="0" applyFont="1"/>
    <xf numFmtId="0" fontId="5" fillId="0" borderId="6" xfId="0" applyFont="1" applyBorder="1" applyAlignment="1">
      <alignment vertical="top"/>
    </xf>
    <xf numFmtId="0" fontId="5" fillId="0" borderId="7" xfId="0" applyFont="1" applyBorder="1" applyAlignment="1">
      <alignment vertical="top"/>
    </xf>
    <xf numFmtId="10" fontId="1" fillId="0" borderId="0" xfId="1" applyNumberFormat="1" applyFont="1"/>
    <xf numFmtId="10" fontId="1" fillId="2" borderId="0" xfId="1" applyNumberFormat="1" applyFont="1" applyFill="1"/>
    <xf numFmtId="166" fontId="1" fillId="0" borderId="0" xfId="1" applyNumberFormat="1" applyFont="1"/>
    <xf numFmtId="166" fontId="1" fillId="2" borderId="0" xfId="1" applyNumberFormat="1" applyFont="1" applyFill="1"/>
    <xf numFmtId="0" fontId="1" fillId="0" borderId="9" xfId="0" applyFont="1" applyBorder="1"/>
    <xf numFmtId="0" fontId="0" fillId="0" borderId="10" xfId="0" applyBorder="1"/>
    <xf numFmtId="10" fontId="1" fillId="0" borderId="10" xfId="1" applyNumberFormat="1" applyFont="1" applyBorder="1"/>
    <xf numFmtId="10" fontId="1" fillId="2" borderId="10" xfId="1" applyNumberFormat="1" applyFont="1" applyFill="1" applyBorder="1"/>
    <xf numFmtId="10" fontId="1" fillId="2" borderId="11" xfId="1" applyNumberFormat="1" applyFont="1" applyFill="1" applyBorder="1"/>
    <xf numFmtId="10" fontId="0" fillId="2" borderId="0" xfId="1" applyNumberFormat="1" applyFont="1" applyFill="1"/>
    <xf numFmtId="2" fontId="0" fillId="2" borderId="0" xfId="0" applyNumberFormat="1" applyFill="1"/>
    <xf numFmtId="166" fontId="0" fillId="0" borderId="0" xfId="0" applyNumberFormat="1"/>
    <xf numFmtId="166" fontId="0" fillId="2" borderId="0" xfId="0" applyNumberFormat="1" applyFill="1"/>
    <xf numFmtId="167" fontId="0" fillId="0" borderId="0" xfId="0" applyNumberFormat="1"/>
    <xf numFmtId="167" fontId="0" fillId="2" borderId="0" xfId="0" applyNumberFormat="1" applyFill="1"/>
    <xf numFmtId="165" fontId="3" fillId="6" borderId="0" xfId="0" applyNumberFormat="1" applyFont="1" applyFill="1"/>
    <xf numFmtId="0" fontId="1" fillId="0" borderId="6" xfId="0" applyFont="1" applyBorder="1"/>
    <xf numFmtId="0" fontId="1" fillId="0" borderId="20" xfId="0" applyFont="1" applyBorder="1"/>
    <xf numFmtId="0" fontId="0" fillId="0" borderId="32" xfId="0" applyBorder="1"/>
    <xf numFmtId="0" fontId="0" fillId="0" borderId="6" xfId="0" applyBorder="1"/>
    <xf numFmtId="0" fontId="21" fillId="0" borderId="0" xfId="0" applyFont="1"/>
    <xf numFmtId="0" fontId="1" fillId="12" borderId="14" xfId="0" applyFont="1" applyFill="1" applyBorder="1" applyAlignment="1">
      <alignment horizontal="center"/>
    </xf>
    <xf numFmtId="0" fontId="0" fillId="2" borderId="14" xfId="0" applyFill="1" applyBorder="1"/>
    <xf numFmtId="166" fontId="0" fillId="2" borderId="14" xfId="0" applyNumberFormat="1" applyFill="1" applyBorder="1"/>
    <xf numFmtId="166" fontId="0" fillId="0" borderId="14" xfId="0" applyNumberFormat="1" applyBorder="1"/>
    <xf numFmtId="0" fontId="1" fillId="0" borderId="33" xfId="0" applyFont="1" applyBorder="1"/>
    <xf numFmtId="166" fontId="1" fillId="0" borderId="6" xfId="0" applyNumberFormat="1" applyFont="1" applyBorder="1"/>
    <xf numFmtId="166" fontId="1" fillId="0" borderId="34" xfId="0" applyNumberFormat="1" applyFont="1" applyBorder="1"/>
    <xf numFmtId="0" fontId="1" fillId="0" borderId="15" xfId="0" applyFont="1" applyBorder="1"/>
    <xf numFmtId="166" fontId="1" fillId="0" borderId="16" xfId="0" applyNumberFormat="1" applyFont="1" applyBorder="1"/>
    <xf numFmtId="166" fontId="1" fillId="0" borderId="17" xfId="0" applyNumberFormat="1" applyFont="1" applyBorder="1"/>
    <xf numFmtId="0" fontId="19" fillId="0" borderId="0" xfId="0" applyFont="1" applyAlignment="1">
      <alignment vertical="top"/>
    </xf>
    <xf numFmtId="10" fontId="19" fillId="0" borderId="0" xfId="1" applyNumberFormat="1" applyFont="1"/>
    <xf numFmtId="10" fontId="21" fillId="2" borderId="0" xfId="0" applyNumberFormat="1" applyFont="1" applyFill="1"/>
    <xf numFmtId="10" fontId="0" fillId="2" borderId="0" xfId="0" applyNumberFormat="1" applyFill="1"/>
    <xf numFmtId="0" fontId="30" fillId="0" borderId="0" xfId="0" applyFont="1"/>
    <xf numFmtId="0" fontId="31" fillId="0" borderId="0" xfId="0" applyFont="1" applyAlignment="1">
      <alignment vertical="top"/>
    </xf>
    <xf numFmtId="0" fontId="32" fillId="0" borderId="0" xfId="0" applyFont="1" applyAlignment="1">
      <alignment vertical="top"/>
    </xf>
    <xf numFmtId="0" fontId="21" fillId="0" borderId="0" xfId="0" applyFont="1" applyAlignment="1">
      <alignment vertical="center"/>
    </xf>
    <xf numFmtId="14" fontId="22" fillId="0" borderId="0" xfId="0" applyNumberFormat="1" applyFont="1" applyAlignment="1">
      <alignment vertical="center"/>
    </xf>
    <xf numFmtId="0" fontId="33" fillId="0" borderId="0" xfId="0" applyFont="1"/>
    <xf numFmtId="10" fontId="21" fillId="0" borderId="0" xfId="0" applyNumberFormat="1" applyFont="1"/>
    <xf numFmtId="9" fontId="21" fillId="0" borderId="0" xfId="1" applyFont="1"/>
    <xf numFmtId="14" fontId="0" fillId="0" borderId="0" xfId="0" applyNumberFormat="1"/>
    <xf numFmtId="0" fontId="33" fillId="2" borderId="0" xfId="0" applyFont="1" applyFill="1"/>
    <xf numFmtId="0" fontId="23" fillId="0" borderId="6" xfId="0" applyFont="1" applyBorder="1"/>
    <xf numFmtId="3" fontId="33" fillId="0" borderId="0" xfId="0" applyNumberFormat="1" applyFont="1" applyAlignment="1">
      <alignment horizontal="right"/>
    </xf>
    <xf numFmtId="0" fontId="33" fillId="0" borderId="0" xfId="0" applyFont="1" applyAlignment="1">
      <alignment horizontal="right"/>
    </xf>
    <xf numFmtId="3" fontId="22" fillId="0" borderId="6" xfId="0" applyNumberFormat="1" applyFont="1" applyBorder="1" applyAlignment="1">
      <alignment horizontal="right"/>
    </xf>
    <xf numFmtId="0" fontId="22" fillId="0" borderId="6" xfId="0" applyFont="1" applyBorder="1" applyAlignment="1">
      <alignment horizontal="right"/>
    </xf>
    <xf numFmtId="0" fontId="22" fillId="0" borderId="6" xfId="0" applyFont="1" applyBorder="1"/>
    <xf numFmtId="3" fontId="22" fillId="0" borderId="6" xfId="0" applyNumberFormat="1" applyFont="1" applyBorder="1"/>
    <xf numFmtId="3" fontId="23" fillId="0" borderId="6" xfId="0" applyNumberFormat="1" applyFont="1" applyBorder="1" applyAlignment="1">
      <alignment horizontal="right"/>
    </xf>
    <xf numFmtId="3" fontId="0" fillId="2" borderId="6" xfId="0" applyNumberFormat="1" applyFill="1" applyBorder="1"/>
    <xf numFmtId="10" fontId="21" fillId="0" borderId="0" xfId="1" applyNumberFormat="1" applyFont="1"/>
    <xf numFmtId="10" fontId="21" fillId="0" borderId="0" xfId="1" applyNumberFormat="1" applyFont="1" applyAlignment="1">
      <alignment vertical="top"/>
    </xf>
    <xf numFmtId="3" fontId="1" fillId="0" borderId="6" xfId="0" applyNumberFormat="1" applyFont="1" applyBorder="1"/>
    <xf numFmtId="9" fontId="21" fillId="2" borderId="0" xfId="0" applyNumberFormat="1" applyFont="1" applyFill="1"/>
    <xf numFmtId="0" fontId="23" fillId="3" borderId="0" xfId="0" applyFont="1" applyFill="1" applyAlignment="1">
      <alignment vertical="top"/>
    </xf>
    <xf numFmtId="3" fontId="23" fillId="3" borderId="0" xfId="0" applyNumberFormat="1" applyFont="1" applyFill="1" applyAlignment="1">
      <alignment horizontal="right" vertical="top"/>
    </xf>
    <xf numFmtId="166" fontId="1" fillId="0" borderId="0" xfId="0" applyNumberFormat="1" applyFont="1"/>
    <xf numFmtId="166" fontId="1" fillId="2" borderId="0" xfId="0" applyNumberFormat="1" applyFont="1" applyFill="1"/>
    <xf numFmtId="1" fontId="0" fillId="0" borderId="0" xfId="0" applyNumberFormat="1"/>
    <xf numFmtId="1" fontId="0" fillId="2" borderId="0" xfId="0" applyNumberFormat="1" applyFill="1"/>
    <xf numFmtId="0" fontId="0" fillId="2" borderId="0" xfId="0" applyFill="1" applyAlignment="1">
      <alignment horizontal="right"/>
    </xf>
    <xf numFmtId="10" fontId="0" fillId="0" borderId="0" xfId="0" applyNumberFormat="1"/>
    <xf numFmtId="0" fontId="0" fillId="2" borderId="0" xfId="0" applyFill="1" applyAlignment="1">
      <alignment horizontal="center"/>
    </xf>
    <xf numFmtId="0" fontId="0" fillId="2" borderId="6" xfId="0" applyFill="1" applyBorder="1"/>
    <xf numFmtId="3" fontId="1" fillId="9" borderId="35" xfId="0" applyNumberFormat="1" applyFont="1" applyFill="1" applyBorder="1"/>
    <xf numFmtId="168" fontId="0" fillId="15" borderId="0" xfId="0" applyNumberFormat="1" applyFill="1"/>
    <xf numFmtId="10" fontId="0" fillId="15" borderId="0" xfId="1" applyNumberFormat="1" applyFont="1" applyFill="1"/>
    <xf numFmtId="10" fontId="0" fillId="15" borderId="0" xfId="0" applyNumberFormat="1" applyFill="1"/>
    <xf numFmtId="168" fontId="0" fillId="2" borderId="14" xfId="0" applyNumberFormat="1" applyFill="1" applyBorder="1"/>
    <xf numFmtId="168" fontId="0" fillId="16" borderId="14" xfId="0" applyNumberFormat="1" applyFill="1" applyBorder="1"/>
    <xf numFmtId="168" fontId="0" fillId="8" borderId="14" xfId="0" applyNumberFormat="1" applyFill="1" applyBorder="1"/>
    <xf numFmtId="0" fontId="1" fillId="0" borderId="14" xfId="0" applyFont="1" applyBorder="1"/>
    <xf numFmtId="10" fontId="1" fillId="0" borderId="14" xfId="1" applyNumberFormat="1" applyFont="1" applyBorder="1"/>
    <xf numFmtId="0" fontId="1" fillId="15" borderId="14" xfId="0" applyFont="1" applyFill="1" applyBorder="1"/>
    <xf numFmtId="2" fontId="0" fillId="0" borderId="14" xfId="1" applyNumberFormat="1" applyFont="1" applyBorder="1"/>
    <xf numFmtId="2" fontId="1" fillId="8" borderId="14" xfId="0" applyNumberFormat="1" applyFont="1" applyFill="1" applyBorder="1"/>
    <xf numFmtId="3" fontId="0" fillId="0" borderId="14" xfId="1" applyNumberFormat="1" applyFont="1" applyBorder="1"/>
    <xf numFmtId="1" fontId="0" fillId="0" borderId="14" xfId="0" applyNumberFormat="1" applyBorder="1"/>
    <xf numFmtId="0" fontId="36" fillId="17" borderId="14" xfId="0" applyFont="1" applyFill="1" applyBorder="1"/>
    <xf numFmtId="0" fontId="1" fillId="17" borderId="14" xfId="0" applyFont="1" applyFill="1" applyBorder="1"/>
    <xf numFmtId="9" fontId="1" fillId="0" borderId="14" xfId="0" applyNumberFormat="1" applyFont="1" applyBorder="1"/>
    <xf numFmtId="168" fontId="37" fillId="3" borderId="14" xfId="0" applyNumberFormat="1" applyFont="1" applyFill="1" applyBorder="1"/>
    <xf numFmtId="10" fontId="0" fillId="18" borderId="0" xfId="1" applyNumberFormat="1" applyFont="1" applyFill="1"/>
    <xf numFmtId="0" fontId="1" fillId="19" borderId="9" xfId="0" applyFont="1" applyFill="1" applyBorder="1"/>
    <xf numFmtId="168" fontId="0" fillId="0" borderId="11" xfId="0" applyNumberFormat="1" applyBorder="1"/>
    <xf numFmtId="0" fontId="0" fillId="8" borderId="0" xfId="0" applyFill="1"/>
    <xf numFmtId="2" fontId="6" fillId="0" borderId="0" xfId="0" applyNumberFormat="1" applyFont="1" applyAlignment="1">
      <alignment horizontal="right"/>
    </xf>
    <xf numFmtId="168" fontId="34" fillId="2" borderId="11" xfId="0" applyNumberFormat="1" applyFont="1" applyFill="1" applyBorder="1"/>
    <xf numFmtId="0" fontId="0" fillId="2" borderId="10" xfId="0" applyFill="1" applyBorder="1"/>
    <xf numFmtId="0" fontId="0" fillId="2" borderId="11" xfId="0" applyFill="1" applyBorder="1"/>
    <xf numFmtId="0" fontId="6" fillId="0" borderId="6" xfId="0" applyFont="1" applyBorder="1"/>
    <xf numFmtId="3" fontId="6" fillId="0" borderId="6" xfId="0" applyNumberFormat="1" applyFont="1" applyBorder="1"/>
    <xf numFmtId="0" fontId="15" fillId="0" borderId="0" xfId="0" applyFont="1"/>
    <xf numFmtId="165" fontId="0" fillId="0" borderId="0" xfId="0" applyNumberFormat="1"/>
    <xf numFmtId="10" fontId="0" fillId="0" borderId="0" xfId="1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5" fillId="13" borderId="0" xfId="0" applyFont="1" applyFill="1" applyAlignment="1">
      <alignment horizontal="center"/>
    </xf>
    <xf numFmtId="0" fontId="3" fillId="14" borderId="0" xfId="0" applyFont="1" applyFill="1" applyAlignment="1">
      <alignment horizontal="center" textRotation="90"/>
    </xf>
    <xf numFmtId="0" fontId="3" fillId="14" borderId="0" xfId="0" applyFont="1" applyFill="1" applyAlignment="1">
      <alignment horizontal="center"/>
    </xf>
    <xf numFmtId="0" fontId="3" fillId="11" borderId="0" xfId="0" applyFont="1" applyFill="1" applyAlignment="1">
      <alignment horizontal="center"/>
    </xf>
    <xf numFmtId="0" fontId="3" fillId="10" borderId="0" xfId="0" applyFont="1" applyFill="1" applyAlignment="1">
      <alignment horizontal="center"/>
    </xf>
    <xf numFmtId="0" fontId="0" fillId="6" borderId="0" xfId="0" applyFill="1" applyAlignment="1">
      <alignment horizontal="left"/>
    </xf>
    <xf numFmtId="0" fontId="2" fillId="6" borderId="0" xfId="0" applyFont="1" applyFill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9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1" fillId="12" borderId="14" xfId="0" applyFont="1" applyFill="1" applyBorder="1" applyAlignment="1">
      <alignment horizontal="center"/>
    </xf>
    <xf numFmtId="0" fontId="1" fillId="15" borderId="14" xfId="0" applyFont="1" applyFill="1" applyBorder="1" applyAlignment="1">
      <alignment horizontal="center" vertical="center"/>
    </xf>
    <xf numFmtId="0" fontId="1" fillId="12" borderId="14" xfId="0" applyFont="1" applyFill="1" applyBorder="1" applyAlignment="1">
      <alignment horizontal="center" vertical="center"/>
    </xf>
    <xf numFmtId="0" fontId="0" fillId="6" borderId="0" xfId="0" applyFill="1" applyAlignment="1">
      <alignment horizontal="center"/>
    </xf>
  </cellXfs>
  <cellStyles count="2">
    <cellStyle name="Normal" xfId="0" builtinId="0"/>
    <cellStyle name="Percent" xfId="1" builtinId="5"/>
  </cellStyles>
  <dxfs count="39">
    <dxf>
      <fill>
        <patternFill>
          <bgColor rgb="FFFF0000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Sheet3!$F$6</c:f>
              <c:strCache>
                <c:ptCount val="1"/>
                <c:pt idx="0">
                  <c:v>Net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Sheet3!$G$5:$J$5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Sheet3!$G$6:$J$6</c:f>
              <c:numCache>
                <c:formatCode>#,##0</c:formatCode>
                <c:ptCount val="4"/>
                <c:pt idx="0">
                  <c:v>6653858</c:v>
                </c:pt>
                <c:pt idx="1">
                  <c:v>6899716</c:v>
                </c:pt>
                <c:pt idx="2">
                  <c:v>7190424.1002955604</c:v>
                </c:pt>
                <c:pt idx="3">
                  <c:v>7497642.5715194354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45-4AF0-A443-412E3037F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1366847"/>
        <c:axId val="1984510575"/>
      </c:barChart>
      <c:dateAx>
        <c:axId val="1971366847"/>
        <c:scaling>
          <c:orientation val="minMax"/>
        </c:scaling>
        <c:delete val="0"/>
        <c:axPos val="b"/>
        <c:numFmt formatCode="dd\/mmm\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4510575"/>
        <c:crosses val="autoZero"/>
        <c:auto val="1"/>
        <c:lblOffset val="100"/>
        <c:baseTimeUnit val="years"/>
      </c:dateAx>
      <c:valAx>
        <c:axId val="1984510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3668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solidFill>
                  <a:schemeClr val="tx1"/>
                </a:solidFill>
              </a:rPr>
              <a:t>Revenue</a:t>
            </a:r>
            <a:r>
              <a:rPr lang="en-IN" b="1" baseline="0">
                <a:solidFill>
                  <a:schemeClr val="tx1"/>
                </a:solidFill>
              </a:rPr>
              <a:t> By Product</a:t>
            </a:r>
            <a:endParaRPr lang="en-IN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Sheet1!$C$6</c:f>
              <c:strCache>
                <c:ptCount val="1"/>
                <c:pt idx="0">
                  <c:v>Sparkling beverages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Sheet1!$D$5:$G$5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Sheet1!$D$6:$G$6</c:f>
              <c:numCache>
                <c:formatCode>#,##0</c:formatCode>
                <c:ptCount val="4"/>
                <c:pt idx="0">
                  <c:v>3892133</c:v>
                </c:pt>
                <c:pt idx="1">
                  <c:v>4106073</c:v>
                </c:pt>
                <c:pt idx="2">
                  <c:v>4331772.7018395821</c:v>
                </c:pt>
                <c:pt idx="3">
                  <c:v>4569878.5044500176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A2-4923-8079-A4DB983D0A73}"/>
            </c:ext>
          </c:extLst>
        </c:ser>
        <c:ser>
          <c:idx val="1"/>
          <c:order val="1"/>
          <c:tx>
            <c:strRef>
              <c:f>Sheet1!$C$7</c:f>
              <c:strCache>
                <c:ptCount val="1"/>
                <c:pt idx="0">
                  <c:v>Still beverages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Sheet1!$D$5:$G$5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Sheet1!$D$7:$G$7</c:f>
              <c:numCache>
                <c:formatCode>#,##0</c:formatCode>
                <c:ptCount val="4"/>
                <c:pt idx="0">
                  <c:v>2149639</c:v>
                </c:pt>
                <c:pt idx="1">
                  <c:v>2227243</c:v>
                </c:pt>
                <c:pt idx="2">
                  <c:v>2307648.5777607309</c:v>
                </c:pt>
                <c:pt idx="3">
                  <c:v>2390956.8728877474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BA2-4923-8079-A4DB983D0A73}"/>
            </c:ext>
          </c:extLst>
        </c:ser>
        <c:ser>
          <c:idx val="2"/>
          <c:order val="2"/>
          <c:tx>
            <c:strRef>
              <c:f>Sheet1!$C$8</c:f>
              <c:strCache>
                <c:ptCount val="1"/>
                <c:pt idx="0">
                  <c:v>Sales to other Coca‑Cola bottlers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Sheet1!$D$5:$G$5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Sheet1!$D$8:$G$8</c:f>
              <c:numCache>
                <c:formatCode>#,##0</c:formatCode>
                <c:ptCount val="4"/>
                <c:pt idx="0">
                  <c:v>353819</c:v>
                </c:pt>
                <c:pt idx="1">
                  <c:v>345586</c:v>
                </c:pt>
                <c:pt idx="2">
                  <c:v>346462.38597479166</c:v>
                </c:pt>
                <c:pt idx="3">
                  <c:v>347340.99441338918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BA2-4923-8079-A4DB983D0A73}"/>
            </c:ext>
          </c:extLst>
        </c:ser>
        <c:ser>
          <c:idx val="3"/>
          <c:order val="3"/>
          <c:tx>
            <c:strRef>
              <c:f>Sheet1!$C$9</c:f>
              <c:strCache>
                <c:ptCount val="1"/>
                <c:pt idx="0">
                  <c:v>Post-mix sales and other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Sheet1!$D$5:$G$5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Sheet1!$D$9:$G$9</c:f>
              <c:numCache>
                <c:formatCode>#,##0</c:formatCode>
                <c:ptCount val="4"/>
                <c:pt idx="0">
                  <c:v>258267</c:v>
                </c:pt>
                <c:pt idx="1">
                  <c:v>220814</c:v>
                </c:pt>
                <c:pt idx="2">
                  <c:v>204540.43472045613</c:v>
                </c:pt>
                <c:pt idx="3">
                  <c:v>189466.1997682809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BA2-4923-8079-A4DB983D0A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0291807"/>
        <c:axId val="1980295167"/>
      </c:barChart>
      <c:dateAx>
        <c:axId val="1980291807"/>
        <c:scaling>
          <c:orientation val="minMax"/>
        </c:scaling>
        <c:delete val="0"/>
        <c:axPos val="b"/>
        <c:numFmt formatCode="dd\/mmm\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5167"/>
        <c:crosses val="autoZero"/>
        <c:auto val="1"/>
        <c:lblOffset val="100"/>
        <c:baseTimeUnit val="years"/>
      </c:dateAx>
      <c:valAx>
        <c:axId val="19802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9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Sheet2!$F$5</c:f>
              <c:strCache>
                <c:ptCount val="1"/>
                <c:pt idx="0">
                  <c:v>YoY Revenue Growth 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Sheet2!$G$4:$J$4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Sheet2!$G$5:$J$5</c:f>
              <c:numCache>
                <c:formatCode>0.00%</c:formatCode>
                <c:ptCount val="4"/>
                <c:pt idx="0">
                  <c:v>7.3037274730336055E-2</c:v>
                </c:pt>
                <c:pt idx="1">
                  <c:v>3.6949691442167865E-2</c:v>
                </c:pt>
                <c:pt idx="2">
                  <c:v>4.2133342922456629E-2</c:v>
                </c:pt>
                <c:pt idx="3">
                  <c:v>4.2726057175298759E-2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C-453A-86EA-8C9866099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60238767"/>
        <c:axId val="1860226287"/>
      </c:lineChart>
      <c:dateAx>
        <c:axId val="1860238767"/>
        <c:scaling>
          <c:orientation val="minMax"/>
        </c:scaling>
        <c:delete val="0"/>
        <c:axPos val="b"/>
        <c:numFmt formatCode="dd\/mmm\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226287"/>
        <c:crosses val="autoZero"/>
        <c:auto val="1"/>
        <c:lblOffset val="100"/>
        <c:baseTimeUnit val="years"/>
      </c:dateAx>
      <c:valAx>
        <c:axId val="186022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23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Sheet2!$F$9</c:f>
              <c:strCache>
                <c:ptCount val="1"/>
                <c:pt idx="0">
                  <c:v>Earning per Share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Sheet2!$G$8:$J$8</c:f>
              <c:numCache>
                <c:formatCode>dd\/mmm\/yyyy</c:formatCode>
                <c:ptCount val="4"/>
                <c:pt idx="0">
                  <c:v>45291</c:v>
                </c:pt>
                <c:pt idx="1">
                  <c:v>45657</c:v>
                </c:pt>
                <c:pt idx="2">
                  <c:v>46022</c:v>
                </c:pt>
                <c:pt idx="3">
                  <c:v>46387</c:v>
                </c:pt>
              </c:numCache>
            </c:numRef>
          </c:cat>
          <c:val>
            <c:numRef>
              <c:f>Sheet2!$G$9:$J$9</c:f>
              <c:numCache>
                <c:formatCode>0.00</c:formatCode>
                <c:ptCount val="4"/>
                <c:pt idx="0">
                  <c:v>3.9210273643783005</c:v>
                </c:pt>
                <c:pt idx="1">
                  <c:v>6.2866150332638266</c:v>
                </c:pt>
                <c:pt idx="2">
                  <c:v>5.5929407090330558</c:v>
                </c:pt>
                <c:pt idx="3">
                  <c:v>5.7335386991145958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C-44D3-AC68-93772DCAD3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6104255"/>
        <c:axId val="1976100895"/>
      </c:lineChart>
      <c:dateAx>
        <c:axId val="1976104255"/>
        <c:scaling>
          <c:orientation val="minMax"/>
        </c:scaling>
        <c:delete val="0"/>
        <c:axPos val="b"/>
        <c:numFmt formatCode="dd\/mmm\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00895"/>
        <c:crosses val="autoZero"/>
        <c:auto val="1"/>
        <c:lblOffset val="100"/>
        <c:baseTimeUnit val="years"/>
      </c:dateAx>
      <c:valAx>
        <c:axId val="1976100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104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342900</xdr:colOff>
      <xdr:row>6</xdr:row>
      <xdr:rowOff>41910</xdr:rowOff>
    </xdr:from>
    <xdr:to>
      <xdr:col>14</xdr:col>
      <xdr:colOff>76200</xdr:colOff>
      <xdr:row>21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295DC0-034F-5D77-472E-2283F37ED8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563880</xdr:colOff>
      <xdr:row>7</xdr:row>
      <xdr:rowOff>179070</xdr:rowOff>
    </xdr:from>
    <xdr:to>
      <xdr:col>12</xdr:col>
      <xdr:colOff>487680</xdr:colOff>
      <xdr:row>22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7756DFD-5E6F-8794-AAA8-A6E23A8576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304800</xdr:colOff>
      <xdr:row>1</xdr:row>
      <xdr:rowOff>179070</xdr:rowOff>
    </xdr:from>
    <xdr:to>
      <xdr:col>19</xdr:col>
      <xdr:colOff>0</xdr:colOff>
      <xdr:row>16</xdr:row>
      <xdr:rowOff>179070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9D9E2B-F861-2603-362D-9509597D95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365760</xdr:colOff>
      <xdr:row>6</xdr:row>
      <xdr:rowOff>41910</xdr:rowOff>
    </xdr:from>
    <xdr:to>
      <xdr:col>12</xdr:col>
      <xdr:colOff>518160</xdr:colOff>
      <xdr:row>21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27E5C24-3C7B-08F3-E00A-D5889D119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J15"/>
  <sheetViews>
    <sheetView showGridLines="0" workbookViewId="0">
      <selection activeCell="D4" sqref="D4"/>
    </sheetView>
  </sheetViews>
  <sheetFormatPr defaultRowHeight="14.4"/>
  <cols>
    <col min="3" max="3" width="14.44140625" bestFit="1" customWidth="1"/>
    <col min="4" max="4" width="31" bestFit="1" customWidth="1"/>
  </cols>
  <sheetData>
    <row r="4" spans="3:10">
      <c r="C4" s="1" t="s">
        <v>0</v>
      </c>
      <c r="D4" s="2" t="s">
        <v>4</v>
      </c>
    </row>
    <row r="5" spans="3:10">
      <c r="C5" s="3"/>
      <c r="D5" s="2"/>
    </row>
    <row r="6" spans="3:10">
      <c r="C6" s="1" t="s">
        <v>1</v>
      </c>
      <c r="D6" s="2" t="s">
        <v>5</v>
      </c>
    </row>
    <row r="7" spans="3:10">
      <c r="C7" s="3"/>
      <c r="D7" s="2"/>
    </row>
    <row r="8" spans="3:10">
      <c r="C8" s="1" t="s">
        <v>2</v>
      </c>
      <c r="D8" s="7">
        <v>45657</v>
      </c>
    </row>
    <row r="9" spans="3:10">
      <c r="C9" s="3"/>
      <c r="D9" s="2"/>
    </row>
    <row r="10" spans="3:10">
      <c r="C10" s="1" t="s">
        <v>3</v>
      </c>
      <c r="D10" s="2" t="s">
        <v>6</v>
      </c>
    </row>
    <row r="13" spans="3:10">
      <c r="J13" t="s">
        <v>7</v>
      </c>
    </row>
    <row r="15" spans="3:10">
      <c r="D15" s="6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41C7-55FF-4863-AE42-8BBEE8C191EA}">
  <dimension ref="A1:K106"/>
  <sheetViews>
    <sheetView showGridLines="0" zoomScaleNormal="100" workbookViewId="0">
      <selection activeCell="E7" sqref="E7:H7"/>
    </sheetView>
  </sheetViews>
  <sheetFormatPr defaultColWidth="0" defaultRowHeight="14.4"/>
  <cols>
    <col min="1" max="2" width="3.77734375" customWidth="1"/>
    <col min="3" max="3" width="72.33203125" bestFit="1" customWidth="1"/>
    <col min="4" max="9" width="11.6640625" bestFit="1" customWidth="1"/>
    <col min="10" max="10" width="3.77734375" customWidth="1"/>
    <col min="11" max="11" width="3.77734375" hidden="1" customWidth="1"/>
    <col min="12" max="16384" width="8.88671875" hidden="1"/>
  </cols>
  <sheetData>
    <row r="1" spans="1:10">
      <c r="A1" s="80"/>
      <c r="B1" s="80"/>
      <c r="C1" s="80"/>
      <c r="D1" s="80"/>
      <c r="E1" s="80"/>
      <c r="F1" s="80"/>
      <c r="G1" s="80"/>
      <c r="H1" s="80"/>
      <c r="I1" s="80"/>
      <c r="J1" s="80"/>
    </row>
    <row r="2" spans="1:10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80"/>
    </row>
    <row r="3" spans="1:10">
      <c r="A3" s="80"/>
      <c r="B3" s="267" t="s">
        <v>118</v>
      </c>
      <c r="C3" s="275"/>
      <c r="D3" s="268" t="s">
        <v>8</v>
      </c>
      <c r="E3" s="268"/>
      <c r="F3" s="268"/>
      <c r="G3" s="268" t="s">
        <v>9</v>
      </c>
      <c r="H3" s="268"/>
      <c r="I3" s="268"/>
      <c r="J3" s="80"/>
    </row>
    <row r="4" spans="1:10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80"/>
    </row>
    <row r="5" spans="1:10">
      <c r="A5" s="80"/>
      <c r="G5" s="4"/>
      <c r="H5" s="4"/>
      <c r="I5" s="4"/>
      <c r="J5" s="80"/>
    </row>
    <row r="6" spans="1:10">
      <c r="A6" s="80"/>
      <c r="F6" t="s">
        <v>499</v>
      </c>
      <c r="G6" s="4">
        <f>IF(F6="Normal",1,IF(F6="Best",2,3))</f>
        <v>1</v>
      </c>
      <c r="H6" s="4"/>
      <c r="I6" s="4"/>
      <c r="J6" s="80"/>
    </row>
    <row r="7" spans="1:10">
      <c r="A7" s="80"/>
      <c r="C7" s="11" t="s">
        <v>10</v>
      </c>
      <c r="D7" s="19">
        <v>6200957</v>
      </c>
      <c r="E7" s="19">
        <v>6653858</v>
      </c>
      <c r="F7" s="19">
        <v>6899716</v>
      </c>
      <c r="G7" s="33">
        <v>7190424.1002955604</v>
      </c>
      <c r="H7" s="33">
        <v>7497642.5715194354</v>
      </c>
      <c r="I7" s="33">
        <f>'Revenue Driver'!L33</f>
        <v>7822069.7515482884</v>
      </c>
      <c r="J7" s="80"/>
    </row>
    <row r="8" spans="1:10">
      <c r="A8" s="80"/>
      <c r="C8" s="11" t="s">
        <v>11</v>
      </c>
      <c r="D8" s="16">
        <v>3923003</v>
      </c>
      <c r="E8" s="16">
        <v>4055147</v>
      </c>
      <c r="F8" s="16">
        <v>4146537</v>
      </c>
      <c r="G8" s="33">
        <f>CHOOSE($G$6,'Cost Driver'!G10,'Cost Driver'!G11,'Cost Driver'!G12)*'Income Statement'!G7</f>
        <v>4417460.6961030243</v>
      </c>
      <c r="H8" s="33">
        <f>CHOOSE($G$6,'Cost Driver'!H10,'Cost Driver'!H11,'Cost Driver'!H12)*'Income Statement'!H7</f>
        <v>4606201.374374358</v>
      </c>
      <c r="I8" s="33">
        <f>CHOOSE($G$6,'Cost Driver'!I10,'Cost Driver'!I11,'Cost Driver'!I12)*'Income Statement'!I7</f>
        <v>4805514.2795013431</v>
      </c>
      <c r="J8" s="80"/>
    </row>
    <row r="9" spans="1:10">
      <c r="A9" s="80"/>
      <c r="C9" s="166" t="s">
        <v>12</v>
      </c>
      <c r="D9" s="27">
        <v>2277954</v>
      </c>
      <c r="E9" s="27">
        <v>2598711</v>
      </c>
      <c r="F9" s="27">
        <v>2753179</v>
      </c>
      <c r="G9" s="40">
        <f t="shared" ref="G9:I9" si="1">G7-G8</f>
        <v>2772963.4041925361</v>
      </c>
      <c r="H9" s="40">
        <f t="shared" si="1"/>
        <v>2891441.1971450774</v>
      </c>
      <c r="I9" s="40">
        <f t="shared" si="1"/>
        <v>3016555.4720469452</v>
      </c>
      <c r="J9" s="80"/>
    </row>
    <row r="10" spans="1:10">
      <c r="A10" s="80"/>
      <c r="C10" s="11" t="s">
        <v>13</v>
      </c>
      <c r="D10" s="16">
        <v>1636907</v>
      </c>
      <c r="E10" s="16">
        <v>1764260</v>
      </c>
      <c r="F10" s="16">
        <v>1832829</v>
      </c>
      <c r="G10" s="33">
        <f>CHOOSE($G$6,'Cost Driver'!G15,'Cost Driver'!G16,'Cost Driver'!G17)*'Income Statement'!G7</f>
        <v>1904894.9818580772</v>
      </c>
      <c r="H10" s="33">
        <f>CHOOSE($G$6,'Cost Driver'!H15,'Cost Driver'!H16,'Cost Driver'!H17)*'Income Statement'!H7</f>
        <v>1986283.6337658854</v>
      </c>
      <c r="I10" s="33">
        <f>CHOOSE($G$6,'Cost Driver'!I15,'Cost Driver'!I16,'Cost Driver'!I17)*'Income Statement'!I7</f>
        <v>2072231.2355478061</v>
      </c>
      <c r="J10" s="80"/>
    </row>
    <row r="11" spans="1:10">
      <c r="A11" s="80"/>
      <c r="C11" s="166" t="s">
        <v>14</v>
      </c>
      <c r="D11" s="27">
        <v>641047</v>
      </c>
      <c r="E11" s="27">
        <v>834451</v>
      </c>
      <c r="F11" s="27">
        <v>920350</v>
      </c>
      <c r="G11" s="40">
        <f t="shared" ref="G11:I11" si="2">G9-G10</f>
        <v>868068.42233445891</v>
      </c>
      <c r="H11" s="40">
        <f t="shared" si="2"/>
        <v>905157.56337919203</v>
      </c>
      <c r="I11" s="40">
        <f t="shared" si="2"/>
        <v>944324.23649913911</v>
      </c>
      <c r="J11" s="80"/>
    </row>
    <row r="12" spans="1:10">
      <c r="A12" s="80"/>
      <c r="C12" s="11" t="s">
        <v>15</v>
      </c>
      <c r="D12" s="16">
        <v>24792</v>
      </c>
      <c r="E12" s="16">
        <v>-918</v>
      </c>
      <c r="F12" s="16">
        <v>1848</v>
      </c>
      <c r="G12" s="33">
        <f>G7*Assumptions!G9</f>
        <v>9893.9386938423613</v>
      </c>
      <c r="H12" s="33">
        <f>H7*Assumptions!H9</f>
        <v>3763.4672700822107</v>
      </c>
      <c r="I12" s="33">
        <f>I7*Assumptions!I9</f>
        <v>5594.8102729390175</v>
      </c>
      <c r="J12" s="80"/>
    </row>
    <row r="13" spans="1:10">
      <c r="A13" s="80"/>
      <c r="C13" s="11" t="s">
        <v>16</v>
      </c>
      <c r="D13" s="16">
        <v>32301</v>
      </c>
      <c r="E13" s="16">
        <v>159354</v>
      </c>
      <c r="F13" s="16">
        <v>59166</v>
      </c>
      <c r="G13" s="33">
        <f>G7*Assumptions!G10</f>
        <v>90439.437399044837</v>
      </c>
      <c r="H13" s="33">
        <f>H7*Assumptions!H10</f>
        <v>112719.58393031236</v>
      </c>
      <c r="I13" s="33">
        <f>I7*Assumptions!I10</f>
        <v>94352.152428269124</v>
      </c>
      <c r="J13" s="80"/>
    </row>
    <row r="14" spans="1:10">
      <c r="A14" s="80"/>
      <c r="C14" s="11" t="s">
        <v>17</v>
      </c>
      <c r="D14" s="16">
        <v>0</v>
      </c>
      <c r="E14" s="16">
        <v>112796</v>
      </c>
      <c r="F14" s="16">
        <v>0</v>
      </c>
      <c r="G14" s="33">
        <f>G7*Assumptions!G11</f>
        <v>0</v>
      </c>
      <c r="H14" s="33">
        <f>H7*Assumptions!H11</f>
        <v>0</v>
      </c>
      <c r="I14" s="33">
        <f>I7*Assumptions!I11</f>
        <v>0</v>
      </c>
      <c r="J14" s="80"/>
    </row>
    <row r="15" spans="1:10">
      <c r="A15" s="80"/>
      <c r="C15" s="11" t="s">
        <v>18</v>
      </c>
      <c r="D15" s="16">
        <v>8867</v>
      </c>
      <c r="E15" s="16">
        <v>5738</v>
      </c>
      <c r="F15" s="16">
        <v>2682</v>
      </c>
      <c r="G15" s="33">
        <f>G7*Assumptions!G12</f>
        <v>6425.8640757328649</v>
      </c>
      <c r="H15" s="33">
        <f>H7*Assumptions!H12</f>
        <v>5360.1601128639431</v>
      </c>
      <c r="I15" s="33">
        <f>I7*Assumptions!I12</f>
        <v>5207.6578441344391</v>
      </c>
      <c r="J15" s="80"/>
    </row>
    <row r="16" spans="1:10">
      <c r="A16" s="80"/>
      <c r="C16" s="166" t="s">
        <v>19</v>
      </c>
      <c r="D16" s="27">
        <v>575087</v>
      </c>
      <c r="E16" s="27">
        <v>557481</v>
      </c>
      <c r="F16" s="27">
        <v>856654</v>
      </c>
      <c r="G16" s="40">
        <f t="shared" ref="G16:I16" si="3">G11-SUM(G12:G15)</f>
        <v>761309.18216583889</v>
      </c>
      <c r="H16" s="40">
        <f t="shared" si="3"/>
        <v>783314.35206593352</v>
      </c>
      <c r="I16" s="40">
        <f t="shared" si="3"/>
        <v>839169.61595379654</v>
      </c>
      <c r="J16" s="80"/>
    </row>
    <row r="17" spans="1:10">
      <c r="A17" s="80"/>
      <c r="C17" s="11" t="s">
        <v>20</v>
      </c>
      <c r="D17" s="16">
        <v>144929</v>
      </c>
      <c r="E17" s="16">
        <v>149106</v>
      </c>
      <c r="F17" s="16">
        <v>223529</v>
      </c>
      <c r="G17" s="33">
        <f>G16*Assumptions!G13</f>
        <v>198044.12335911987</v>
      </c>
      <c r="H17" s="33">
        <f>H16*Assumptions!H13</f>
        <v>205889.6696781026</v>
      </c>
      <c r="I17" s="33">
        <f>I16*Assumptions!I13</f>
        <v>219278.70102335545</v>
      </c>
      <c r="J17" s="80"/>
    </row>
    <row r="18" spans="1:10">
      <c r="A18" s="80"/>
      <c r="C18" s="199" t="s">
        <v>266</v>
      </c>
      <c r="D18" s="200">
        <f t="shared" ref="D18:F18" si="4">D17/D16</f>
        <v>0.25201230422527376</v>
      </c>
      <c r="E18" s="200">
        <f t="shared" si="4"/>
        <v>0.26746382387919948</v>
      </c>
      <c r="F18" s="200">
        <f t="shared" si="4"/>
        <v>0.26093265192247977</v>
      </c>
      <c r="G18" s="93">
        <f t="shared" ref="G18:I18" si="5">F18</f>
        <v>0.26093265192247977</v>
      </c>
      <c r="H18" s="93">
        <f t="shared" si="5"/>
        <v>0.26093265192247977</v>
      </c>
      <c r="I18" s="93">
        <f t="shared" si="5"/>
        <v>0.26093265192247977</v>
      </c>
      <c r="J18" s="80"/>
    </row>
    <row r="19" spans="1:10" ht="15" thickBot="1">
      <c r="A19" s="80"/>
      <c r="C19" s="167" t="s">
        <v>21</v>
      </c>
      <c r="D19" s="28">
        <v>430158</v>
      </c>
      <c r="E19" s="28">
        <v>408375</v>
      </c>
      <c r="F19" s="28">
        <v>633125</v>
      </c>
      <c r="G19" s="38">
        <f t="shared" ref="G19:I19" si="6">G16-G17</f>
        <v>563265.05880671903</v>
      </c>
      <c r="H19" s="38">
        <f t="shared" si="6"/>
        <v>577424.68238783092</v>
      </c>
      <c r="I19" s="38">
        <f t="shared" si="6"/>
        <v>619890.91493044107</v>
      </c>
      <c r="J19" s="80"/>
    </row>
    <row r="20" spans="1:10" ht="15" thickTop="1">
      <c r="A20" s="80"/>
      <c r="C20" s="8"/>
      <c r="D20" s="8"/>
      <c r="E20" s="8"/>
      <c r="F20" s="8"/>
      <c r="G20" s="4"/>
      <c r="H20" s="4"/>
      <c r="I20" s="4"/>
      <c r="J20" s="80"/>
    </row>
    <row r="21" spans="1:10">
      <c r="A21" s="80"/>
      <c r="C21" s="12" t="s">
        <v>22</v>
      </c>
      <c r="D21" s="13"/>
      <c r="E21" s="13"/>
      <c r="F21" s="13"/>
      <c r="G21" s="4"/>
      <c r="H21" s="4"/>
      <c r="I21" s="4"/>
      <c r="J21" s="80"/>
    </row>
    <row r="22" spans="1:10">
      <c r="A22" s="80"/>
      <c r="C22" s="11" t="s">
        <v>23</v>
      </c>
      <c r="D22" s="258">
        <f t="shared" ref="D22:F22" si="7">D19/D36</f>
        <v>4.0227999625923498</v>
      </c>
      <c r="E22" s="258">
        <f t="shared" si="7"/>
        <v>3.9210273643783005</v>
      </c>
      <c r="F22" s="258">
        <f t="shared" si="7"/>
        <v>6.2866150332638266</v>
      </c>
      <c r="G22" s="178">
        <f t="shared" ref="G22:I22" si="8">G19/G36</f>
        <v>5.5929407090330558</v>
      </c>
      <c r="H22" s="178">
        <f t="shared" si="8"/>
        <v>5.7335386991145958</v>
      </c>
      <c r="I22" s="178">
        <f t="shared" si="8"/>
        <v>6.155207178338209</v>
      </c>
      <c r="J22" s="80"/>
    </row>
    <row r="23" spans="1:10">
      <c r="A23" s="80"/>
      <c r="C23" s="11" t="s">
        <v>24</v>
      </c>
      <c r="D23" s="16">
        <v>8117</v>
      </c>
      <c r="E23" s="16">
        <v>8369</v>
      </c>
      <c r="F23" s="16">
        <v>8035</v>
      </c>
      <c r="G23" s="33">
        <f t="shared" ref="G23:I23" si="9">F23</f>
        <v>8035</v>
      </c>
      <c r="H23" s="33">
        <f t="shared" si="9"/>
        <v>8035</v>
      </c>
      <c r="I23" s="33">
        <f t="shared" si="9"/>
        <v>8035</v>
      </c>
      <c r="J23" s="80"/>
    </row>
    <row r="24" spans="1:10">
      <c r="A24" s="80"/>
      <c r="C24" s="8"/>
      <c r="D24" s="8"/>
      <c r="E24" s="8"/>
      <c r="F24" s="8"/>
      <c r="G24" s="4"/>
      <c r="H24" s="4"/>
      <c r="I24" s="4"/>
      <c r="J24" s="80"/>
    </row>
    <row r="25" spans="1:10">
      <c r="A25" s="80"/>
      <c r="C25" s="11" t="s">
        <v>25</v>
      </c>
      <c r="D25" s="258">
        <f t="shared" ref="D25:F25" si="10">D19/D36</f>
        <v>4.0227999625923498</v>
      </c>
      <c r="E25" s="258">
        <f t="shared" si="10"/>
        <v>3.9210273643783005</v>
      </c>
      <c r="F25" s="258">
        <f t="shared" si="10"/>
        <v>6.2866150332638266</v>
      </c>
      <c r="G25" s="178">
        <f t="shared" ref="G25:I25" si="11">G19/G36</f>
        <v>5.5929407090330558</v>
      </c>
      <c r="H25" s="178">
        <f t="shared" si="11"/>
        <v>5.7335386991145958</v>
      </c>
      <c r="I25" s="178">
        <f t="shared" si="11"/>
        <v>6.155207178338209</v>
      </c>
      <c r="J25" s="80"/>
    </row>
    <row r="26" spans="1:10">
      <c r="A26" s="80"/>
      <c r="C26" s="11" t="s">
        <v>26</v>
      </c>
      <c r="D26" s="16">
        <v>1257</v>
      </c>
      <c r="E26" s="16">
        <v>1005</v>
      </c>
      <c r="F26" s="16">
        <v>1005</v>
      </c>
      <c r="G26" s="33">
        <f t="shared" ref="G26:I26" si="12">F26</f>
        <v>1005</v>
      </c>
      <c r="H26" s="33">
        <f t="shared" si="12"/>
        <v>1005</v>
      </c>
      <c r="I26" s="33">
        <f t="shared" si="12"/>
        <v>1005</v>
      </c>
      <c r="J26" s="80"/>
    </row>
    <row r="27" spans="1:10">
      <c r="A27" s="80"/>
      <c r="C27" s="8"/>
      <c r="D27" s="8"/>
      <c r="E27" s="8"/>
      <c r="F27" s="8"/>
      <c r="G27" s="4"/>
      <c r="H27" s="4"/>
      <c r="I27" s="4"/>
      <c r="J27" s="80"/>
    </row>
    <row r="28" spans="1:10">
      <c r="A28" s="80"/>
      <c r="C28" s="12" t="s">
        <v>27</v>
      </c>
      <c r="D28" s="8"/>
      <c r="E28" s="8"/>
      <c r="F28" s="8"/>
      <c r="G28" s="4"/>
      <c r="H28" s="4"/>
      <c r="I28" s="4"/>
      <c r="J28" s="80"/>
    </row>
    <row r="29" spans="1:10">
      <c r="A29" s="80"/>
      <c r="C29" s="11" t="s">
        <v>23</v>
      </c>
      <c r="D29" s="258">
        <f t="shared" ref="D29:F29" si="13">D19/D36</f>
        <v>4.0227999625923498</v>
      </c>
      <c r="E29" s="258">
        <f t="shared" si="13"/>
        <v>3.9210273643783005</v>
      </c>
      <c r="F29" s="258">
        <f t="shared" si="13"/>
        <v>6.2866150332638266</v>
      </c>
      <c r="G29" s="178">
        <f t="shared" ref="G29:I29" si="14">G19/G36</f>
        <v>5.5929407090330558</v>
      </c>
      <c r="H29" s="178">
        <f t="shared" si="14"/>
        <v>5.7335386991145958</v>
      </c>
      <c r="I29" s="178">
        <f t="shared" si="14"/>
        <v>6.155207178338209</v>
      </c>
      <c r="J29" s="80"/>
    </row>
    <row r="30" spans="1:10">
      <c r="A30" s="80"/>
      <c r="C30" s="11" t="s">
        <v>28</v>
      </c>
      <c r="D30" s="16">
        <v>9405</v>
      </c>
      <c r="E30" s="16">
        <v>9392</v>
      </c>
      <c r="F30" s="16">
        <v>9053</v>
      </c>
      <c r="G30" s="33">
        <f t="shared" ref="G30:I30" si="15">F30</f>
        <v>9053</v>
      </c>
      <c r="H30" s="33">
        <f t="shared" si="15"/>
        <v>9053</v>
      </c>
      <c r="I30" s="33">
        <f t="shared" si="15"/>
        <v>9053</v>
      </c>
      <c r="J30" s="80"/>
    </row>
    <row r="31" spans="1:10">
      <c r="A31" s="80"/>
      <c r="C31" s="8"/>
      <c r="D31" s="8"/>
      <c r="E31" s="8"/>
      <c r="F31" s="8"/>
      <c r="G31" s="4"/>
      <c r="H31" s="4"/>
      <c r="I31" s="4"/>
      <c r="J31" s="80"/>
    </row>
    <row r="32" spans="1:10">
      <c r="A32" s="80"/>
      <c r="C32" s="11" t="s">
        <v>25</v>
      </c>
      <c r="D32" s="258">
        <f t="shared" ref="D32:F32" si="16">D19/D36</f>
        <v>4.0227999625923498</v>
      </c>
      <c r="E32" s="258">
        <f t="shared" si="16"/>
        <v>3.9210273643783005</v>
      </c>
      <c r="F32" s="258">
        <f t="shared" si="16"/>
        <v>6.2866150332638266</v>
      </c>
      <c r="G32" s="178">
        <f t="shared" ref="G32:I32" si="17">G19/G36</f>
        <v>5.5929407090330558</v>
      </c>
      <c r="H32" s="178">
        <f t="shared" si="17"/>
        <v>5.7335386991145958</v>
      </c>
      <c r="I32" s="178">
        <f t="shared" si="17"/>
        <v>6.155207178338209</v>
      </c>
      <c r="J32" s="80"/>
    </row>
    <row r="33" spans="1:10">
      <c r="A33" s="80"/>
      <c r="C33" s="11" t="s">
        <v>29</v>
      </c>
      <c r="D33" s="16">
        <v>1288</v>
      </c>
      <c r="E33" s="16">
        <v>1023</v>
      </c>
      <c r="F33" s="16">
        <v>1018</v>
      </c>
      <c r="G33" s="33">
        <f t="shared" ref="G33:I33" si="18">F33</f>
        <v>1018</v>
      </c>
      <c r="H33" s="33">
        <f t="shared" si="18"/>
        <v>1018</v>
      </c>
      <c r="I33" s="33">
        <f t="shared" si="18"/>
        <v>1018</v>
      </c>
      <c r="J33" s="80"/>
    </row>
    <row r="34" spans="1:10">
      <c r="A34" s="80"/>
      <c r="C34" s="12" t="s">
        <v>496</v>
      </c>
      <c r="D34" s="130">
        <f t="shared" ref="D34:I34" si="19">D30+D33</f>
        <v>10693</v>
      </c>
      <c r="E34" s="130">
        <f t="shared" si="19"/>
        <v>10415</v>
      </c>
      <c r="F34" s="130">
        <f t="shared" si="19"/>
        <v>10071</v>
      </c>
      <c r="G34" s="53">
        <f t="shared" si="19"/>
        <v>10071</v>
      </c>
      <c r="H34" s="53">
        <f t="shared" si="19"/>
        <v>10071</v>
      </c>
      <c r="I34" s="53">
        <f t="shared" si="19"/>
        <v>10071</v>
      </c>
      <c r="J34" s="80"/>
    </row>
    <row r="35" spans="1:10">
      <c r="A35" s="80"/>
      <c r="G35" s="4"/>
      <c r="H35" s="4"/>
      <c r="I35" s="4"/>
      <c r="J35" s="80"/>
    </row>
    <row r="36" spans="1:10">
      <c r="A36" s="80"/>
      <c r="C36" s="34" t="s">
        <v>497</v>
      </c>
      <c r="D36" s="173">
        <f t="shared" ref="D36:I36" si="20">D34*10</f>
        <v>106930</v>
      </c>
      <c r="E36" s="173">
        <f t="shared" si="20"/>
        <v>104150</v>
      </c>
      <c r="F36" s="173">
        <f t="shared" si="20"/>
        <v>100710</v>
      </c>
      <c r="G36" s="260">
        <f t="shared" si="20"/>
        <v>100710</v>
      </c>
      <c r="H36" s="260">
        <f t="shared" si="20"/>
        <v>100710</v>
      </c>
      <c r="I36" s="261">
        <f t="shared" si="20"/>
        <v>100710</v>
      </c>
      <c r="J36" s="80"/>
    </row>
    <row r="37" spans="1:10">
      <c r="A37" s="80"/>
      <c r="G37" s="4"/>
      <c r="H37" s="4"/>
      <c r="I37" s="4"/>
      <c r="J37" s="80"/>
    </row>
    <row r="38" spans="1:10">
      <c r="A38" s="80"/>
      <c r="G38" s="4"/>
      <c r="H38" s="4"/>
      <c r="I38" s="4"/>
      <c r="J38" s="80"/>
    </row>
    <row r="39" spans="1:10">
      <c r="A39" s="80"/>
      <c r="G39" s="4"/>
      <c r="H39" s="4"/>
      <c r="I39" s="4"/>
      <c r="J39" s="80"/>
    </row>
    <row r="40" spans="1:10">
      <c r="A40" s="80"/>
      <c r="G40" s="4"/>
      <c r="H40" s="4"/>
      <c r="I40" s="4"/>
      <c r="J40" s="80"/>
    </row>
    <row r="41" spans="1:10">
      <c r="A41" s="80"/>
      <c r="G41" s="4"/>
      <c r="H41" s="4"/>
      <c r="I41" s="4"/>
      <c r="J41" s="80"/>
    </row>
    <row r="42" spans="1:10">
      <c r="A42" s="80"/>
      <c r="G42" s="4"/>
      <c r="H42" s="4"/>
      <c r="I42" s="4"/>
      <c r="J42" s="80"/>
    </row>
    <row r="43" spans="1:10">
      <c r="A43" s="80"/>
      <c r="G43" s="4"/>
      <c r="H43" s="4"/>
      <c r="I43" s="4"/>
      <c r="J43" s="80"/>
    </row>
    <row r="44" spans="1:10">
      <c r="A44" s="80"/>
      <c r="G44" s="4"/>
      <c r="H44" s="4"/>
      <c r="I44" s="4"/>
      <c r="J44" s="80"/>
    </row>
    <row r="45" spans="1:10">
      <c r="A45" s="80"/>
      <c r="G45" s="4"/>
      <c r="H45" s="4"/>
      <c r="I45" s="4"/>
      <c r="J45" s="80"/>
    </row>
    <row r="46" spans="1:10">
      <c r="A46" s="80"/>
      <c r="G46" s="4"/>
      <c r="H46" s="4"/>
      <c r="I46" s="4"/>
      <c r="J46" s="80"/>
    </row>
    <row r="47" spans="1:10">
      <c r="A47" s="80"/>
      <c r="G47" s="4"/>
      <c r="H47" s="4"/>
      <c r="I47" s="4"/>
      <c r="J47" s="80"/>
    </row>
    <row r="48" spans="1:10">
      <c r="A48" s="80"/>
      <c r="G48" s="4"/>
      <c r="H48" s="4"/>
      <c r="I48" s="4"/>
      <c r="J48" s="80"/>
    </row>
    <row r="49" spans="1:10">
      <c r="A49" s="80"/>
      <c r="G49" s="4"/>
      <c r="H49" s="4"/>
      <c r="I49" s="4"/>
      <c r="J49" s="80"/>
    </row>
    <row r="50" spans="1:10">
      <c r="A50" s="80"/>
      <c r="G50" s="4"/>
      <c r="H50" s="4"/>
      <c r="I50" s="4"/>
      <c r="J50" s="80"/>
    </row>
    <row r="51" spans="1:10">
      <c r="A51" s="80"/>
      <c r="G51" s="4"/>
      <c r="H51" s="4"/>
      <c r="I51" s="4"/>
      <c r="J51" s="80"/>
    </row>
    <row r="52" spans="1:10">
      <c r="A52" s="80"/>
      <c r="G52" s="4"/>
      <c r="H52" s="4"/>
      <c r="I52" s="4"/>
      <c r="J52" s="80"/>
    </row>
    <row r="53" spans="1:10">
      <c r="A53" s="80"/>
      <c r="G53" s="4"/>
      <c r="H53" s="4"/>
      <c r="I53" s="4"/>
      <c r="J53" s="80"/>
    </row>
    <row r="54" spans="1:10">
      <c r="A54" s="80"/>
      <c r="G54" s="4"/>
      <c r="H54" s="4"/>
      <c r="I54" s="4"/>
      <c r="J54" s="80"/>
    </row>
    <row r="55" spans="1:10">
      <c r="A55" s="80"/>
      <c r="G55" s="4"/>
      <c r="H55" s="4"/>
      <c r="I55" s="4"/>
      <c r="J55" s="80"/>
    </row>
    <row r="56" spans="1:10">
      <c r="A56" s="80"/>
      <c r="G56" s="4"/>
      <c r="H56" s="4"/>
      <c r="I56" s="4"/>
      <c r="J56" s="80"/>
    </row>
    <row r="57" spans="1:10">
      <c r="A57" s="80"/>
      <c r="G57" s="4"/>
      <c r="H57" s="4"/>
      <c r="I57" s="4"/>
      <c r="J57" s="80"/>
    </row>
    <row r="58" spans="1:10">
      <c r="A58" s="80"/>
      <c r="G58" s="4"/>
      <c r="H58" s="4"/>
      <c r="I58" s="4"/>
      <c r="J58" s="80"/>
    </row>
    <row r="59" spans="1:10">
      <c r="A59" s="80"/>
      <c r="G59" s="4"/>
      <c r="H59" s="4"/>
      <c r="I59" s="4"/>
      <c r="J59" s="80"/>
    </row>
    <row r="60" spans="1:10">
      <c r="A60" s="80"/>
      <c r="G60" s="4"/>
      <c r="H60" s="4"/>
      <c r="I60" s="4"/>
      <c r="J60" s="80"/>
    </row>
    <row r="61" spans="1:10">
      <c r="A61" s="80"/>
      <c r="G61" s="4"/>
      <c r="H61" s="4"/>
      <c r="I61" s="4"/>
      <c r="J61" s="80"/>
    </row>
    <row r="62" spans="1:10">
      <c r="A62" s="80"/>
      <c r="G62" s="4"/>
      <c r="H62" s="4"/>
      <c r="I62" s="4"/>
      <c r="J62" s="80"/>
    </row>
    <row r="63" spans="1:10">
      <c r="A63" s="80"/>
      <c r="G63" s="4"/>
      <c r="H63" s="4"/>
      <c r="I63" s="4"/>
      <c r="J63" s="80"/>
    </row>
    <row r="64" spans="1:10">
      <c r="A64" s="80"/>
      <c r="G64" s="4"/>
      <c r="H64" s="4"/>
      <c r="I64" s="4"/>
      <c r="J64" s="80"/>
    </row>
    <row r="65" spans="1:10">
      <c r="A65" s="80"/>
      <c r="G65" s="4"/>
      <c r="H65" s="4"/>
      <c r="I65" s="4"/>
      <c r="J65" s="80"/>
    </row>
    <row r="66" spans="1:10">
      <c r="A66" s="80"/>
      <c r="G66" s="4"/>
      <c r="H66" s="4"/>
      <c r="I66" s="4"/>
      <c r="J66" s="80"/>
    </row>
    <row r="67" spans="1:10">
      <c r="A67" s="80"/>
      <c r="G67" s="4"/>
      <c r="H67" s="4"/>
      <c r="I67" s="4"/>
      <c r="J67" s="80"/>
    </row>
    <row r="68" spans="1:10">
      <c r="A68" s="80"/>
      <c r="G68" s="4"/>
      <c r="H68" s="4"/>
      <c r="I68" s="4"/>
      <c r="J68" s="80"/>
    </row>
    <row r="69" spans="1:10">
      <c r="A69" s="80"/>
      <c r="G69" s="4"/>
      <c r="H69" s="4"/>
      <c r="I69" s="4"/>
      <c r="J69" s="80"/>
    </row>
    <row r="70" spans="1:10">
      <c r="A70" s="80"/>
      <c r="G70" s="4"/>
      <c r="H70" s="4"/>
      <c r="I70" s="4"/>
      <c r="J70" s="80"/>
    </row>
    <row r="71" spans="1:10">
      <c r="A71" s="80"/>
      <c r="G71" s="4"/>
      <c r="H71" s="4"/>
      <c r="I71" s="4"/>
      <c r="J71" s="80"/>
    </row>
    <row r="72" spans="1:10">
      <c r="A72" s="80"/>
      <c r="G72" s="4"/>
      <c r="H72" s="4"/>
      <c r="I72" s="4"/>
      <c r="J72" s="80"/>
    </row>
    <row r="73" spans="1:10">
      <c r="A73" s="80"/>
      <c r="G73" s="4"/>
      <c r="H73" s="4"/>
      <c r="I73" s="4"/>
      <c r="J73" s="80"/>
    </row>
    <row r="74" spans="1:10">
      <c r="A74" s="80"/>
      <c r="G74" s="4"/>
      <c r="H74" s="4"/>
      <c r="I74" s="4"/>
      <c r="J74" s="80"/>
    </row>
    <row r="75" spans="1:10">
      <c r="A75" s="80"/>
      <c r="G75" s="4"/>
      <c r="H75" s="4"/>
      <c r="I75" s="4"/>
      <c r="J75" s="80"/>
    </row>
    <row r="76" spans="1:10">
      <c r="A76" s="80"/>
      <c r="G76" s="4"/>
      <c r="H76" s="4"/>
      <c r="I76" s="4"/>
      <c r="J76" s="80"/>
    </row>
    <row r="77" spans="1:10">
      <c r="A77" s="80"/>
      <c r="G77" s="4"/>
      <c r="H77" s="4"/>
      <c r="I77" s="4"/>
      <c r="J77" s="80"/>
    </row>
    <row r="78" spans="1:10">
      <c r="A78" s="80"/>
      <c r="G78" s="4"/>
      <c r="H78" s="4"/>
      <c r="I78" s="4"/>
      <c r="J78" s="80"/>
    </row>
    <row r="79" spans="1:10">
      <c r="A79" s="80"/>
      <c r="G79" s="4"/>
      <c r="H79" s="4"/>
      <c r="I79" s="4"/>
      <c r="J79" s="80"/>
    </row>
    <row r="80" spans="1:10">
      <c r="A80" s="80"/>
      <c r="G80" s="4"/>
      <c r="H80" s="4"/>
      <c r="I80" s="4"/>
      <c r="J80" s="80"/>
    </row>
    <row r="81" spans="1:10">
      <c r="A81" s="80"/>
      <c r="G81" s="4"/>
      <c r="H81" s="4"/>
      <c r="I81" s="4"/>
      <c r="J81" s="80"/>
    </row>
    <row r="82" spans="1:10">
      <c r="A82" s="80"/>
      <c r="G82" s="4"/>
      <c r="H82" s="4"/>
      <c r="I82" s="4"/>
      <c r="J82" s="80"/>
    </row>
    <row r="83" spans="1:10">
      <c r="A83" s="80"/>
      <c r="G83" s="4"/>
      <c r="H83" s="4"/>
      <c r="I83" s="4"/>
      <c r="J83" s="80"/>
    </row>
    <row r="84" spans="1:10">
      <c r="A84" s="80"/>
      <c r="G84" s="4"/>
      <c r="H84" s="4"/>
      <c r="I84" s="4"/>
      <c r="J84" s="80"/>
    </row>
    <row r="85" spans="1:10">
      <c r="A85" s="80"/>
      <c r="G85" s="4"/>
      <c r="H85" s="4"/>
      <c r="I85" s="4"/>
      <c r="J85" s="80"/>
    </row>
    <row r="86" spans="1:10">
      <c r="A86" s="80"/>
      <c r="G86" s="4"/>
      <c r="H86" s="4"/>
      <c r="I86" s="4"/>
      <c r="J86" s="80"/>
    </row>
    <row r="87" spans="1:10">
      <c r="A87" s="80"/>
      <c r="G87" s="4"/>
      <c r="H87" s="4"/>
      <c r="I87" s="4"/>
      <c r="J87" s="80"/>
    </row>
    <row r="88" spans="1:10">
      <c r="A88" s="80"/>
      <c r="G88" s="4"/>
      <c r="H88" s="4"/>
      <c r="I88" s="4"/>
      <c r="J88" s="80"/>
    </row>
    <row r="89" spans="1:10">
      <c r="A89" s="80"/>
      <c r="G89" s="4"/>
      <c r="H89" s="4"/>
      <c r="I89" s="4"/>
      <c r="J89" s="80"/>
    </row>
    <row r="90" spans="1:10">
      <c r="A90" s="80"/>
      <c r="G90" s="4"/>
      <c r="H90" s="4"/>
      <c r="I90" s="4"/>
      <c r="J90" s="80"/>
    </row>
    <row r="91" spans="1:10">
      <c r="A91" s="80"/>
      <c r="G91" s="4"/>
      <c r="H91" s="4"/>
      <c r="I91" s="4"/>
      <c r="J91" s="80"/>
    </row>
    <row r="92" spans="1:10">
      <c r="A92" s="80"/>
      <c r="G92" s="4"/>
      <c r="H92" s="4"/>
      <c r="I92" s="4"/>
      <c r="J92" s="80"/>
    </row>
    <row r="93" spans="1:10">
      <c r="A93" s="80"/>
      <c r="G93" s="4"/>
      <c r="H93" s="4"/>
      <c r="I93" s="4"/>
      <c r="J93" s="80"/>
    </row>
    <row r="94" spans="1:10">
      <c r="A94" s="80"/>
      <c r="G94" s="4"/>
      <c r="H94" s="4"/>
      <c r="I94" s="4"/>
      <c r="J94" s="80"/>
    </row>
    <row r="95" spans="1:10">
      <c r="A95" s="80"/>
      <c r="G95" s="4"/>
      <c r="H95" s="4"/>
      <c r="I95" s="4"/>
      <c r="J95" s="80"/>
    </row>
    <row r="96" spans="1:10">
      <c r="A96" s="80"/>
      <c r="G96" s="4"/>
      <c r="H96" s="4"/>
      <c r="I96" s="4"/>
      <c r="J96" s="80"/>
    </row>
    <row r="97" spans="1:10">
      <c r="A97" s="80"/>
      <c r="G97" s="4"/>
      <c r="H97" s="4"/>
      <c r="I97" s="4"/>
      <c r="J97" s="80"/>
    </row>
    <row r="98" spans="1:10">
      <c r="A98" s="80"/>
      <c r="G98" s="4"/>
      <c r="H98" s="4"/>
      <c r="I98" s="4"/>
      <c r="J98" s="80"/>
    </row>
    <row r="99" spans="1:10">
      <c r="A99" s="80"/>
      <c r="G99" s="4"/>
      <c r="H99" s="4"/>
      <c r="I99" s="4"/>
      <c r="J99" s="80"/>
    </row>
    <row r="100" spans="1:10">
      <c r="A100" s="80"/>
      <c r="G100" s="4"/>
      <c r="H100" s="4"/>
      <c r="I100" s="4"/>
      <c r="J100" s="80"/>
    </row>
    <row r="101" spans="1:10">
      <c r="A101" s="80"/>
      <c r="B101" s="80"/>
      <c r="C101" s="80"/>
      <c r="D101" s="80"/>
      <c r="E101" s="80"/>
      <c r="F101" s="80"/>
      <c r="G101" s="80"/>
      <c r="H101" s="80"/>
      <c r="I101" s="80"/>
      <c r="J101" s="80"/>
    </row>
    <row r="106" spans="1:10">
      <c r="C106" t="s">
        <v>121</v>
      </c>
    </row>
  </sheetData>
  <mergeCells count="5">
    <mergeCell ref="B2:C2"/>
    <mergeCell ref="D3:F3"/>
    <mergeCell ref="G3:I3"/>
    <mergeCell ref="B4:C4"/>
    <mergeCell ref="B3:C3"/>
  </mergeCells>
  <conditionalFormatting sqref="F6">
    <cfRule type="containsText" dxfId="38" priority="1" operator="containsText" text="Worst">
      <formula>NOT(ISERROR(SEARCH("Worst",F6)))</formula>
    </cfRule>
    <cfRule type="containsText" dxfId="37" priority="2" operator="containsText" text="Best">
      <formula>NOT(ISERROR(SEARCH("Best",F6)))</formula>
    </cfRule>
    <cfRule type="containsText" dxfId="36" priority="3" operator="containsText" text="Normal">
      <formula>NOT(ISERROR(SEARCH("Normal",F6)))</formula>
    </cfRule>
  </conditionalFormatting>
  <dataValidations count="1">
    <dataValidation type="list" allowBlank="1" showInputMessage="1" showErrorMessage="1" sqref="F6" xr:uid="{4C422A9B-F1F5-4030-9A7B-BAA944FAF2AC}">
      <formula1>"Normal,Best,Worst"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85AA5-4CCB-42AD-B87F-42CAD0349F14}">
  <dimension ref="F5:J6"/>
  <sheetViews>
    <sheetView workbookViewId="0">
      <selection activeCell="F5" sqref="F5:J6"/>
    </sheetView>
  </sheetViews>
  <sheetFormatPr defaultRowHeight="14.4"/>
  <cols>
    <col min="7" max="10" width="11.6640625" bestFit="1" customWidth="1"/>
  </cols>
  <sheetData>
    <row r="5" spans="6:10">
      <c r="G5" s="265">
        <f>EDATE(H5,-12)</f>
        <v>45291</v>
      </c>
      <c r="H5" s="265">
        <f>LHY</f>
        <v>45657</v>
      </c>
      <c r="I5" s="265">
        <f>EDATE(H5,12)</f>
        <v>46022</v>
      </c>
      <c r="J5" s="265">
        <f t="shared" ref="J5" si="0">EDATE(I5,12)</f>
        <v>46387</v>
      </c>
    </row>
    <row r="6" spans="6:10">
      <c r="F6" s="11" t="s">
        <v>10</v>
      </c>
      <c r="G6" s="19">
        <v>6653858</v>
      </c>
      <c r="H6" s="19">
        <v>6899716</v>
      </c>
      <c r="I6" s="129">
        <v>7190424.1002955604</v>
      </c>
      <c r="J6" s="129">
        <v>7497642.5715194354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FFBBB-072A-480D-ACEE-58CB790266F1}">
  <dimension ref="A1:L100"/>
  <sheetViews>
    <sheetView showGridLines="0" topLeftCell="A47" workbookViewId="0">
      <selection activeCell="B2" sqref="B2:J61"/>
    </sheetView>
  </sheetViews>
  <sheetFormatPr defaultColWidth="0" defaultRowHeight="14.4"/>
  <cols>
    <col min="1" max="2" width="3.77734375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 s="80" customFormat="1"/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119</v>
      </c>
      <c r="C3" s="267"/>
      <c r="D3" s="77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H6" s="4"/>
      <c r="I6" s="4"/>
      <c r="J6" s="4"/>
      <c r="K6" s="80"/>
    </row>
    <row r="7" spans="1:11">
      <c r="A7" s="80"/>
      <c r="C7" s="25" t="s">
        <v>64</v>
      </c>
      <c r="D7" s="22"/>
      <c r="E7" s="22"/>
      <c r="F7" s="22"/>
      <c r="G7" s="22"/>
      <c r="H7" s="4"/>
      <c r="I7" s="4"/>
      <c r="J7" s="4"/>
      <c r="K7" s="80"/>
    </row>
    <row r="8" spans="1:11">
      <c r="A8" s="80"/>
      <c r="C8" s="21" t="s">
        <v>65</v>
      </c>
      <c r="D8" s="22"/>
      <c r="E8" s="22"/>
      <c r="F8" s="22"/>
      <c r="G8" s="22"/>
      <c r="H8" s="4"/>
      <c r="I8" s="4"/>
      <c r="J8" s="4"/>
      <c r="K8" s="80"/>
    </row>
    <row r="9" spans="1:11">
      <c r="A9" s="80"/>
      <c r="C9" s="41" t="s">
        <v>66</v>
      </c>
      <c r="D9" s="42">
        <v>142314</v>
      </c>
      <c r="E9" s="42">
        <v>197648</v>
      </c>
      <c r="F9" s="42">
        <v>635269</v>
      </c>
      <c r="G9" s="42">
        <v>1135824</v>
      </c>
      <c r="H9" s="47">
        <f>'Cash Flow Statement'!G45</f>
        <v>1334505.1342729316</v>
      </c>
      <c r="I9" s="47">
        <f>'Cash Flow Statement'!H45</f>
        <v>1585336.8566082167</v>
      </c>
      <c r="J9" s="47">
        <f>'Cash Flow Statement'!I45</f>
        <v>1896400.8670626932</v>
      </c>
      <c r="K9" s="80"/>
    </row>
    <row r="10" spans="1:11">
      <c r="A10" s="80"/>
      <c r="C10" s="23" t="s">
        <v>67</v>
      </c>
      <c r="D10">
        <v>0</v>
      </c>
      <c r="E10">
        <v>0</v>
      </c>
      <c r="F10" s="22">
        <v>0</v>
      </c>
      <c r="G10" s="54">
        <v>301210</v>
      </c>
      <c r="H10" s="33">
        <f>'Income Statement'!G7*Assumptions!G17</f>
        <v>104633.66140722438</v>
      </c>
      <c r="I10" s="33">
        <f>'Income Statement'!H7*Assumptions!H17</f>
        <v>145472.32694262709</v>
      </c>
      <c r="J10" s="33">
        <f>'Income Statement'!I7*Assumptions!I17</f>
        <v>202355.99432950231</v>
      </c>
      <c r="K10" s="80"/>
    </row>
    <row r="11" spans="1:11">
      <c r="A11" s="80"/>
      <c r="C11" s="23" t="s">
        <v>68</v>
      </c>
      <c r="D11" s="24">
        <v>472270</v>
      </c>
      <c r="E11" s="24">
        <v>532047</v>
      </c>
      <c r="F11" s="24">
        <v>555933</v>
      </c>
      <c r="G11" s="54">
        <v>567653</v>
      </c>
      <c r="H11" s="33">
        <f>'Income Statement'!G7*Assumptions!G18</f>
        <v>603092.50957788527</v>
      </c>
      <c r="I11" s="33">
        <f>'Income Statement'!H7*Assumptions!H18</f>
        <v>624045.81801163114</v>
      </c>
      <c r="J11" s="33">
        <f>'Income Statement'!I7*Assumptions!I18</f>
        <v>650218.95616518147</v>
      </c>
      <c r="K11" s="80"/>
    </row>
    <row r="12" spans="1:11">
      <c r="A12" s="80"/>
      <c r="C12" s="23" t="s">
        <v>69</v>
      </c>
      <c r="D12" s="24">
        <v>-17336</v>
      </c>
      <c r="E12" s="24">
        <v>-16119</v>
      </c>
      <c r="F12" s="24">
        <v>-16060</v>
      </c>
      <c r="G12" s="54">
        <v>-14674</v>
      </c>
      <c r="H12" s="33">
        <f>'Income Statement'!G7*Assumptions!G19</f>
        <v>-17112.799499610795</v>
      </c>
      <c r="I12" s="33">
        <f>'Income Statement'!H7*Assumptions!H19</f>
        <v>-17295.398243778793</v>
      </c>
      <c r="J12" s="33">
        <f>'Income Statement'!I7*Assumptions!I19</f>
        <v>-17765.159881549196</v>
      </c>
      <c r="K12" s="80"/>
    </row>
    <row r="13" spans="1:11">
      <c r="A13" s="80"/>
      <c r="C13" s="23" t="s">
        <v>70</v>
      </c>
      <c r="D13" s="24">
        <v>57737</v>
      </c>
      <c r="E13" s="24">
        <v>35786</v>
      </c>
      <c r="F13" s="24">
        <v>51936</v>
      </c>
      <c r="G13" s="54">
        <v>89871</v>
      </c>
      <c r="H13" s="33">
        <f>'Income Statement'!G7*Assumptions!G20</f>
        <v>63759.311895914288</v>
      </c>
      <c r="I13" s="33">
        <f>'Income Statement'!H7*Assumptions!H20</f>
        <v>74221.584405630143</v>
      </c>
      <c r="J13" s="33">
        <f>'Income Statement'!I7*Assumptions!I20</f>
        <v>82892.806425863397</v>
      </c>
      <c r="K13" s="80"/>
    </row>
    <row r="14" spans="1:11">
      <c r="A14" s="80"/>
      <c r="C14" s="23" t="s">
        <v>71</v>
      </c>
      <c r="D14" s="24">
        <v>33878</v>
      </c>
      <c r="E14" s="24">
        <v>54631</v>
      </c>
      <c r="F14" s="24">
        <v>67533</v>
      </c>
      <c r="G14" s="54">
        <v>40692</v>
      </c>
      <c r="H14" s="33">
        <f>'Income Statement'!G7*Assumptions!G21</f>
        <v>59577.878930398503</v>
      </c>
      <c r="I14" s="33">
        <f>'Income Statement'!H7*Assumptions!H21</f>
        <v>60812.902778134237</v>
      </c>
      <c r="J14" s="33">
        <f>'Income Statement'!I7*Assumptions!I21</f>
        <v>58129.17906998824</v>
      </c>
      <c r="K14" s="80"/>
    </row>
    <row r="15" spans="1:11">
      <c r="A15" s="80"/>
      <c r="C15" s="23" t="s">
        <v>72</v>
      </c>
      <c r="D15" s="24">
        <v>302851</v>
      </c>
      <c r="E15" s="24">
        <v>347545</v>
      </c>
      <c r="F15" s="24">
        <v>321932</v>
      </c>
      <c r="G15" s="54">
        <v>330395</v>
      </c>
      <c r="H15" s="33">
        <f>'Income Statement'!G8*Assumptions!G22</f>
        <v>364675.81735287776</v>
      </c>
      <c r="I15" s="33">
        <f>'Income Statement'!H8*Assumptions!H22</f>
        <v>370985.76373469114</v>
      </c>
      <c r="J15" s="33">
        <f>'Income Statement'!I8*Assumptions!I22</f>
        <v>388883.85786899592</v>
      </c>
      <c r="K15" s="80"/>
    </row>
    <row r="16" spans="1:11">
      <c r="A16" s="80"/>
      <c r="C16" s="23" t="s">
        <v>73</v>
      </c>
      <c r="D16" s="24">
        <v>78068</v>
      </c>
      <c r="E16" s="24">
        <v>94263</v>
      </c>
      <c r="F16" s="24">
        <v>88585</v>
      </c>
      <c r="G16" s="54">
        <v>96331</v>
      </c>
      <c r="H16" s="33">
        <f>'Income Statement'!G7*Assumptions!G23</f>
        <v>101807.49228832159</v>
      </c>
      <c r="I16" s="33">
        <f>'Income Statement'!H7*Assumptions!H23</f>
        <v>103551.6372249086</v>
      </c>
      <c r="J16" s="33">
        <f>'Income Statement'!I7*Assumptions!I23</f>
        <v>109330.57008387255</v>
      </c>
      <c r="K16" s="80"/>
    </row>
    <row r="17" spans="1:11">
      <c r="A17" s="80"/>
      <c r="C17" s="23" t="s">
        <v>114</v>
      </c>
      <c r="D17" s="24">
        <v>6880</v>
      </c>
      <c r="E17" s="22">
        <v>0</v>
      </c>
      <c r="F17" s="24">
        <v>0</v>
      </c>
      <c r="G17" s="24">
        <v>0</v>
      </c>
      <c r="H17" s="33">
        <f>'Income Statement'!G7*Assumptions!G24</f>
        <v>0</v>
      </c>
      <c r="I17" s="33">
        <f>'Income Statement'!H7*Assumptions!H24</f>
        <v>0</v>
      </c>
      <c r="J17" s="33">
        <f>'Income Statement'!I7*Assumptions!I24</f>
        <v>0</v>
      </c>
      <c r="K17" s="80"/>
    </row>
    <row r="18" spans="1:11" ht="15" thickBot="1">
      <c r="A18" s="80"/>
      <c r="C18" s="75" t="s">
        <v>74</v>
      </c>
      <c r="D18" s="31">
        <v>1076662</v>
      </c>
      <c r="E18" s="31">
        <v>1245801</v>
      </c>
      <c r="F18" s="31">
        <v>1705128</v>
      </c>
      <c r="G18" s="31">
        <v>2547302</v>
      </c>
      <c r="H18" s="38">
        <f t="shared" ref="H18:J18" si="1">SUM(H9:H17)</f>
        <v>2614939.0062259431</v>
      </c>
      <c r="I18" s="38">
        <f t="shared" si="1"/>
        <v>2947131.4914620603</v>
      </c>
      <c r="J18" s="38">
        <f t="shared" si="1"/>
        <v>3370447.0711245476</v>
      </c>
      <c r="K18" s="80"/>
    </row>
    <row r="19" spans="1:11" ht="15" thickTop="1">
      <c r="A19" s="80"/>
      <c r="C19" s="41" t="s">
        <v>75</v>
      </c>
      <c r="D19" s="44">
        <v>1030688</v>
      </c>
      <c r="E19" s="44">
        <v>1183730</v>
      </c>
      <c r="F19" s="44">
        <v>1320563</v>
      </c>
      <c r="G19" s="44">
        <v>1505267</v>
      </c>
      <c r="H19" s="47">
        <f>FAM!H91</f>
        <v>1741772.2655421796</v>
      </c>
      <c r="I19" s="47">
        <f>FAM!I91</f>
        <v>1978097.4061665777</v>
      </c>
      <c r="J19" s="47">
        <f>FAM!J91</f>
        <v>2215034.3852595836</v>
      </c>
      <c r="K19" s="80"/>
    </row>
    <row r="20" spans="1:11">
      <c r="A20" s="80"/>
      <c r="C20" s="41" t="s">
        <v>76</v>
      </c>
      <c r="D20" s="44">
        <v>139877</v>
      </c>
      <c r="E20" s="44">
        <v>140588</v>
      </c>
      <c r="F20" s="44">
        <v>122708</v>
      </c>
      <c r="G20" s="44">
        <v>112351</v>
      </c>
      <c r="H20" s="47">
        <f t="shared" ref="H20:J21" si="2">G20</f>
        <v>112351</v>
      </c>
      <c r="I20" s="47">
        <f t="shared" si="2"/>
        <v>112351</v>
      </c>
      <c r="J20" s="47">
        <f t="shared" si="2"/>
        <v>112351</v>
      </c>
      <c r="K20" s="80"/>
    </row>
    <row r="21" spans="1:11">
      <c r="A21" s="80"/>
      <c r="C21" s="41" t="s">
        <v>77</v>
      </c>
      <c r="D21" s="44">
        <v>64211</v>
      </c>
      <c r="E21" s="44">
        <v>6431</v>
      </c>
      <c r="F21" s="44">
        <v>4785</v>
      </c>
      <c r="G21" s="44">
        <v>3138</v>
      </c>
      <c r="H21" s="47">
        <f t="shared" si="2"/>
        <v>3138</v>
      </c>
      <c r="I21" s="47">
        <f t="shared" si="2"/>
        <v>3138</v>
      </c>
      <c r="J21" s="47">
        <f t="shared" si="2"/>
        <v>3138</v>
      </c>
      <c r="K21" s="80"/>
    </row>
    <row r="22" spans="1:11">
      <c r="A22" s="80"/>
      <c r="C22" s="23" t="s">
        <v>78</v>
      </c>
      <c r="D22" s="24">
        <v>120486</v>
      </c>
      <c r="E22" s="24">
        <v>115892</v>
      </c>
      <c r="F22" s="24">
        <v>145213</v>
      </c>
      <c r="G22" s="54">
        <v>181048</v>
      </c>
      <c r="H22" s="33">
        <f>'Income Statement'!G7*Assumptions!G25</f>
        <v>159994.54391603204</v>
      </c>
      <c r="I22" s="33">
        <f>'Income Statement'!H7*Assumptions!H25</f>
        <v>175731.89304314318</v>
      </c>
      <c r="J22" s="33">
        <f>'Income Statement'!I7*Assumptions!I25</f>
        <v>187545.2424428954</v>
      </c>
      <c r="K22" s="80"/>
    </row>
    <row r="23" spans="1:11">
      <c r="A23" s="80"/>
      <c r="C23" s="41" t="s">
        <v>79</v>
      </c>
      <c r="D23" s="44">
        <v>165903</v>
      </c>
      <c r="E23" s="44">
        <v>165903</v>
      </c>
      <c r="F23" s="44">
        <v>165903</v>
      </c>
      <c r="G23" s="44">
        <v>165903</v>
      </c>
      <c r="H23" s="47">
        <f t="shared" ref="H23:J23" si="3">G23</f>
        <v>165903</v>
      </c>
      <c r="I23" s="47">
        <f t="shared" si="3"/>
        <v>165903</v>
      </c>
      <c r="J23" s="47">
        <f t="shared" si="3"/>
        <v>165903</v>
      </c>
      <c r="K23" s="80"/>
    </row>
    <row r="24" spans="1:11">
      <c r="A24" s="80"/>
      <c r="C24" s="23" t="s">
        <v>80</v>
      </c>
      <c r="D24" s="24">
        <v>836777</v>
      </c>
      <c r="E24" s="24">
        <v>842035</v>
      </c>
      <c r="F24" s="24">
        <v>817143</v>
      </c>
      <c r="G24" s="54">
        <v>792252</v>
      </c>
      <c r="H24" s="33">
        <f>'Income Statement'!G7*Assumptions!G26</f>
        <v>895021.79171896109</v>
      </c>
      <c r="I24" s="33">
        <f>'Income Statement'!H7*Assumptions!H26</f>
        <v>904978.9226965562</v>
      </c>
      <c r="J24" s="33">
        <f>'Income Statement'!I7*Assumptions!I26</f>
        <v>938647.80534909258</v>
      </c>
      <c r="K24" s="80"/>
    </row>
    <row r="25" spans="1:11">
      <c r="A25" s="80"/>
      <c r="C25" s="23" t="s">
        <v>81</v>
      </c>
      <c r="D25" s="24">
        <v>10966</v>
      </c>
      <c r="E25" s="24">
        <v>9165</v>
      </c>
      <c r="F25" s="24">
        <v>7499</v>
      </c>
      <c r="G25" s="54">
        <v>5878</v>
      </c>
      <c r="H25" s="33">
        <f>'Income Statement'!G7*Assumptions!G27</f>
        <v>8285.6026939572948</v>
      </c>
      <c r="I25" s="33">
        <f>'Income Statement'!H7*Assumptions!H27</f>
        <v>7825.6523532232923</v>
      </c>
      <c r="J25" s="33">
        <f>'Income Statement'!I7*Assumptions!I27</f>
        <v>7947.1660801769895</v>
      </c>
      <c r="K25" s="80"/>
    </row>
    <row r="26" spans="1:11" ht="15" thickBot="1">
      <c r="A26" s="80"/>
      <c r="C26" s="75" t="s">
        <v>82</v>
      </c>
      <c r="D26" s="30">
        <v>3445570</v>
      </c>
      <c r="E26" s="30">
        <v>3709545</v>
      </c>
      <c r="F26" s="30">
        <v>4288942</v>
      </c>
      <c r="G26" s="30">
        <v>5313139</v>
      </c>
      <c r="H26" s="38">
        <f t="shared" ref="H26:J26" si="4">SUM(H18:H25)</f>
        <v>5701405.2100970726</v>
      </c>
      <c r="I26" s="38">
        <f t="shared" si="4"/>
        <v>6295157.3657215601</v>
      </c>
      <c r="J26" s="38">
        <f t="shared" si="4"/>
        <v>7001013.6702562971</v>
      </c>
      <c r="K26" s="80"/>
    </row>
    <row r="27" spans="1:11" ht="15" thickTop="1">
      <c r="A27" s="80"/>
      <c r="C27" s="8"/>
      <c r="D27" s="8"/>
      <c r="E27" s="8"/>
      <c r="F27" s="8"/>
      <c r="G27" s="8"/>
      <c r="H27" s="33"/>
      <c r="I27" s="33"/>
      <c r="J27" s="33"/>
      <c r="K27" s="80"/>
    </row>
    <row r="28" spans="1:11">
      <c r="A28" s="80"/>
      <c r="C28" s="25" t="s">
        <v>83</v>
      </c>
      <c r="D28" s="26"/>
      <c r="E28" s="26"/>
      <c r="F28" s="26"/>
      <c r="G28" s="26"/>
      <c r="H28" s="33"/>
      <c r="I28" s="33"/>
      <c r="J28" s="33"/>
      <c r="K28" s="80"/>
    </row>
    <row r="29" spans="1:11">
      <c r="A29" s="80"/>
      <c r="C29" s="21" t="s">
        <v>84</v>
      </c>
      <c r="D29" s="22"/>
      <c r="E29" s="22"/>
      <c r="F29" s="22"/>
      <c r="G29" s="22"/>
      <c r="H29" s="33"/>
      <c r="I29" s="33"/>
      <c r="J29" s="33"/>
      <c r="K29" s="80"/>
    </row>
    <row r="30" spans="1:11">
      <c r="A30" s="80"/>
      <c r="C30" s="41" t="s">
        <v>85</v>
      </c>
      <c r="D30" s="42">
        <v>22048</v>
      </c>
      <c r="E30" s="42">
        <v>27635</v>
      </c>
      <c r="F30" s="42">
        <v>26194</v>
      </c>
      <c r="G30" s="42">
        <v>23257</v>
      </c>
      <c r="H30" s="47">
        <f t="shared" ref="H30:J31" si="5">G30</f>
        <v>23257</v>
      </c>
      <c r="I30" s="47">
        <f t="shared" si="5"/>
        <v>23257</v>
      </c>
      <c r="J30" s="47">
        <f t="shared" si="5"/>
        <v>23257</v>
      </c>
      <c r="K30" s="80"/>
    </row>
    <row r="31" spans="1:11">
      <c r="A31" s="80"/>
      <c r="C31" s="41" t="s">
        <v>86</v>
      </c>
      <c r="D31" s="44">
        <v>6060</v>
      </c>
      <c r="E31" s="44">
        <v>2303</v>
      </c>
      <c r="F31" s="44">
        <v>2487</v>
      </c>
      <c r="G31" s="44">
        <v>2685</v>
      </c>
      <c r="H31" s="47">
        <f t="shared" si="5"/>
        <v>2685</v>
      </c>
      <c r="I31" s="47">
        <f t="shared" si="5"/>
        <v>2685</v>
      </c>
      <c r="J31" s="47">
        <f t="shared" si="5"/>
        <v>2685</v>
      </c>
      <c r="K31" s="80"/>
    </row>
    <row r="32" spans="1:11">
      <c r="A32" s="80"/>
      <c r="C32" s="23" t="s">
        <v>87</v>
      </c>
      <c r="D32" s="24">
        <v>319318</v>
      </c>
      <c r="E32" s="24">
        <v>351729</v>
      </c>
      <c r="F32" s="24">
        <v>383562</v>
      </c>
      <c r="G32" s="54">
        <v>334878</v>
      </c>
      <c r="H32" s="33">
        <f>'Income Statement'!G8*Assumptions!G30</f>
        <v>390217.04857815662</v>
      </c>
      <c r="I32" s="33">
        <f>'Income Statement'!H8*Assumptions!H30</f>
        <v>404858.22301115014</v>
      </c>
      <c r="J32" s="33">
        <f>'Income Statement'!I8*Assumptions!I30</f>
        <v>411656.6908865429</v>
      </c>
      <c r="K32" s="80"/>
    </row>
    <row r="33" spans="1:11">
      <c r="A33" s="80"/>
      <c r="C33" s="23" t="s">
        <v>88</v>
      </c>
      <c r="D33" s="24">
        <v>145671</v>
      </c>
      <c r="E33" s="24">
        <v>162783</v>
      </c>
      <c r="F33" s="24">
        <v>139499</v>
      </c>
      <c r="G33" s="54">
        <v>187271</v>
      </c>
      <c r="H33" s="33">
        <f>'Income Statement'!G8*Assumptions!G31</f>
        <v>178256.60750342041</v>
      </c>
      <c r="I33" s="33">
        <f>'Income Statement'!H8*Assumptions!H31</f>
        <v>184119.75714696196</v>
      </c>
      <c r="J33" s="33">
        <f>'Income Statement'!I8*Assumptions!I31</f>
        <v>201011.6311158743</v>
      </c>
      <c r="K33" s="80"/>
    </row>
    <row r="34" spans="1:11">
      <c r="A34" s="80"/>
      <c r="C34" s="23" t="s">
        <v>89</v>
      </c>
      <c r="D34" s="24">
        <v>226769</v>
      </c>
      <c r="E34" s="24">
        <v>198300</v>
      </c>
      <c r="F34" s="24">
        <v>237994</v>
      </c>
      <c r="G34" s="54">
        <v>246687</v>
      </c>
      <c r="H34" s="33">
        <f>'Income Statement'!G7*Assumptions!G32</f>
        <v>248069.55066429585</v>
      </c>
      <c r="I34" s="33">
        <f>'Income Statement'!H7*Assumptions!H32</f>
        <v>264969.23814882606</v>
      </c>
      <c r="J34" s="33">
        <f>'Income Statement'!I7*Assumptions!I32</f>
        <v>275320.01052723208</v>
      </c>
      <c r="K34" s="80"/>
    </row>
    <row r="35" spans="1:11">
      <c r="A35" s="80"/>
      <c r="C35" s="23" t="s">
        <v>90</v>
      </c>
      <c r="D35" s="24">
        <v>110894</v>
      </c>
      <c r="E35" s="24">
        <v>126921</v>
      </c>
      <c r="F35" s="24">
        <v>146932</v>
      </c>
      <c r="G35" s="54">
        <v>168692</v>
      </c>
      <c r="H35" s="33">
        <f>'Income Statement'!G7*Assumptions!G33</f>
        <v>160584.50490575185</v>
      </c>
      <c r="I35" s="33">
        <f>'Income Statement'!H7*Assumptions!H33</f>
        <v>172107.02319476113</v>
      </c>
      <c r="J35" s="33">
        <f>'Income Statement'!I7*Assumptions!I33</f>
        <v>181829.34803732054</v>
      </c>
      <c r="K35" s="80"/>
    </row>
    <row r="36" spans="1:11">
      <c r="A36" s="80"/>
      <c r="C36" s="23" t="s">
        <v>115</v>
      </c>
      <c r="D36" s="24">
        <v>4096</v>
      </c>
      <c r="E36" s="24">
        <v>2677</v>
      </c>
      <c r="F36" s="24">
        <v>0</v>
      </c>
      <c r="G36" s="24">
        <v>0</v>
      </c>
      <c r="H36" s="33">
        <f>'Income Statement'!G7*Assumptions!G34</f>
        <v>0</v>
      </c>
      <c r="I36" s="33">
        <f>'Income Statement'!H7*Assumptions!H34</f>
        <v>0</v>
      </c>
      <c r="J36" s="33">
        <f>'Income Statement'!I7*Assumptions!I34</f>
        <v>0</v>
      </c>
      <c r="K36" s="80"/>
    </row>
    <row r="37" spans="1:11">
      <c r="A37" s="80"/>
      <c r="C37" s="23" t="s">
        <v>91</v>
      </c>
      <c r="D37" s="22">
        <v>0</v>
      </c>
      <c r="E37" s="24">
        <v>32808</v>
      </c>
      <c r="F37" s="24">
        <v>154666</v>
      </c>
      <c r="G37" s="22">
        <v>0</v>
      </c>
      <c r="H37" s="33">
        <f>'Income Statement'!G7*Assumptions!G35</f>
        <v>0</v>
      </c>
      <c r="I37" s="33">
        <f>'Income Statement'!H7*Assumptions!H35</f>
        <v>0</v>
      </c>
      <c r="J37" s="33">
        <f>'Income Statement'!I7*Assumptions!I35</f>
        <v>0</v>
      </c>
      <c r="K37" s="80"/>
    </row>
    <row r="38" spans="1:11">
      <c r="A38" s="80"/>
      <c r="C38" s="41" t="s">
        <v>92</v>
      </c>
      <c r="D38" s="43">
        <v>0</v>
      </c>
      <c r="E38" s="43">
        <v>0</v>
      </c>
      <c r="F38" s="45">
        <v>0</v>
      </c>
      <c r="G38" s="44">
        <v>349699</v>
      </c>
      <c r="H38" s="47">
        <f t="shared" ref="H38:J38" si="6">G38</f>
        <v>349699</v>
      </c>
      <c r="I38" s="47">
        <f t="shared" si="6"/>
        <v>349699</v>
      </c>
      <c r="J38" s="47">
        <f t="shared" si="6"/>
        <v>349699</v>
      </c>
      <c r="K38" s="80"/>
    </row>
    <row r="39" spans="1:11">
      <c r="A39" s="80"/>
      <c r="C39" s="76" t="s">
        <v>93</v>
      </c>
      <c r="D39" s="29">
        <v>834856</v>
      </c>
      <c r="E39" s="29">
        <v>905156</v>
      </c>
      <c r="F39" s="29">
        <v>1091334</v>
      </c>
      <c r="G39" s="29">
        <v>1313169</v>
      </c>
      <c r="H39" s="40">
        <f t="shared" ref="H39:J39" si="7">SUM(H30:H38)</f>
        <v>1352768.7116516249</v>
      </c>
      <c r="I39" s="40">
        <f t="shared" si="7"/>
        <v>1401695.2415016992</v>
      </c>
      <c r="J39" s="40">
        <f t="shared" si="7"/>
        <v>1445458.6805669698</v>
      </c>
      <c r="K39" s="80"/>
    </row>
    <row r="40" spans="1:11">
      <c r="A40" s="80"/>
      <c r="C40" s="23" t="s">
        <v>36</v>
      </c>
      <c r="D40" s="24">
        <v>136432</v>
      </c>
      <c r="E40" s="24">
        <v>150222</v>
      </c>
      <c r="F40" s="24">
        <v>128435</v>
      </c>
      <c r="G40" s="54">
        <v>132941</v>
      </c>
      <c r="H40" s="33">
        <f>'Income Statement'!G7*Assumptions!G36</f>
        <v>150508.8923960691</v>
      </c>
      <c r="I40" s="33">
        <f>'Income Statement'!H7*Assumptions!H36</f>
        <v>148707.72322493492</v>
      </c>
      <c r="J40" s="33">
        <f>'Income Statement'!I7*Assumptions!I36</f>
        <v>156528.44749260938</v>
      </c>
      <c r="K40" s="80"/>
    </row>
    <row r="41" spans="1:11">
      <c r="A41" s="80"/>
      <c r="C41" s="23" t="s">
        <v>94</v>
      </c>
      <c r="D41" s="24">
        <v>93391</v>
      </c>
      <c r="E41" s="24">
        <v>60323</v>
      </c>
      <c r="F41" s="24">
        <v>60614</v>
      </c>
      <c r="G41" s="54">
        <v>58502</v>
      </c>
      <c r="H41" s="33">
        <f>'Income Statement'!G7*Assumptions!G37</f>
        <v>65472.446319619703</v>
      </c>
      <c r="I41" s="33">
        <f>'Income Statement'!H7*Assumptions!H37</f>
        <v>66714.042364884343</v>
      </c>
      <c r="J41" s="33">
        <f>'Income Statement'!I7*Assumptions!I37</f>
        <v>69049.080154886717</v>
      </c>
      <c r="K41" s="80"/>
    </row>
    <row r="42" spans="1:11">
      <c r="A42" s="80"/>
      <c r="C42" s="23" t="s">
        <v>95</v>
      </c>
      <c r="D42" s="24">
        <v>758610</v>
      </c>
      <c r="E42" s="24">
        <v>753357</v>
      </c>
      <c r="F42" s="24">
        <v>866499</v>
      </c>
      <c r="G42" s="54">
        <v>859559</v>
      </c>
      <c r="H42" s="33">
        <f>'Income Statement'!G7*Assumptions!G38</f>
        <v>901905.41212556046</v>
      </c>
      <c r="I42" s="33">
        <f>'Income Statement'!H7*Assumptions!H38</f>
        <v>950289.73183873273</v>
      </c>
      <c r="J42" s="33">
        <f>'Income Statement'!I7*Assumptions!I38</f>
        <v>982335.92032008036</v>
      </c>
      <c r="K42" s="80"/>
    </row>
    <row r="43" spans="1:11">
      <c r="A43" s="80"/>
      <c r="C43" s="41" t="s">
        <v>96</v>
      </c>
      <c r="D43" s="44">
        <v>122046</v>
      </c>
      <c r="E43" s="44">
        <v>118763</v>
      </c>
      <c r="F43" s="44">
        <v>102271</v>
      </c>
      <c r="G43" s="44">
        <v>92362</v>
      </c>
      <c r="H43" s="47">
        <f t="shared" ref="H43:J44" si="8">G43</f>
        <v>92362</v>
      </c>
      <c r="I43" s="47">
        <f t="shared" si="8"/>
        <v>92362</v>
      </c>
      <c r="J43" s="47">
        <f t="shared" si="8"/>
        <v>92362</v>
      </c>
      <c r="K43" s="80"/>
    </row>
    <row r="44" spans="1:11">
      <c r="A44" s="80"/>
      <c r="C44" s="41" t="s">
        <v>97</v>
      </c>
      <c r="D44" s="44">
        <v>65006</v>
      </c>
      <c r="E44" s="44">
        <v>7519</v>
      </c>
      <c r="F44" s="44">
        <v>5032</v>
      </c>
      <c r="G44" s="44">
        <v>2346</v>
      </c>
      <c r="H44" s="47">
        <f t="shared" si="8"/>
        <v>2346</v>
      </c>
      <c r="I44" s="47">
        <f t="shared" si="8"/>
        <v>2346</v>
      </c>
      <c r="J44" s="47">
        <f t="shared" si="8"/>
        <v>2346</v>
      </c>
      <c r="K44" s="80"/>
    </row>
    <row r="45" spans="1:11">
      <c r="A45" s="80"/>
      <c r="C45" s="41" t="s">
        <v>98</v>
      </c>
      <c r="D45" s="44">
        <v>723443</v>
      </c>
      <c r="E45" s="44">
        <v>598817</v>
      </c>
      <c r="F45" s="44">
        <v>599159</v>
      </c>
      <c r="G45" s="44">
        <v>1436649</v>
      </c>
      <c r="H45" s="47">
        <f>DRS!H60</f>
        <v>1155165.6887974795</v>
      </c>
      <c r="I45" s="47">
        <f>DRS!I60</f>
        <v>1074741.8855967594</v>
      </c>
      <c r="J45" s="47">
        <f>DRS!J60</f>
        <v>1074741.8855967594</v>
      </c>
      <c r="K45" s="80"/>
    </row>
    <row r="46" spans="1:11" ht="15" thickBot="1">
      <c r="A46" s="80"/>
      <c r="C46" s="75" t="s">
        <v>99</v>
      </c>
      <c r="D46" s="31">
        <v>2733784</v>
      </c>
      <c r="E46" s="31">
        <v>2594157</v>
      </c>
      <c r="F46" s="31">
        <v>2853344</v>
      </c>
      <c r="G46" s="31">
        <v>3895528</v>
      </c>
      <c r="H46" s="38">
        <f t="shared" ref="H46:J46" si="9">SUM(H39:H45)</f>
        <v>3720529.1512903534</v>
      </c>
      <c r="I46" s="38">
        <f t="shared" si="9"/>
        <v>3736856.6245270111</v>
      </c>
      <c r="J46" s="38">
        <f t="shared" si="9"/>
        <v>3822822.0141313057</v>
      </c>
      <c r="K46" s="80"/>
    </row>
    <row r="47" spans="1:11" ht="15" thickTop="1">
      <c r="A47" s="80"/>
      <c r="C47" s="23" t="s">
        <v>100</v>
      </c>
      <c r="D47" s="8"/>
      <c r="E47" s="8"/>
      <c r="F47" s="8"/>
      <c r="G47" s="8"/>
      <c r="H47" s="33"/>
      <c r="I47" s="33"/>
      <c r="J47" s="33"/>
      <c r="K47" s="80"/>
    </row>
    <row r="48" spans="1:11">
      <c r="A48" s="80"/>
      <c r="C48" s="21" t="s">
        <v>101</v>
      </c>
      <c r="D48" s="22"/>
      <c r="E48" s="22"/>
      <c r="F48" s="22"/>
      <c r="G48" s="22"/>
      <c r="H48" s="33"/>
      <c r="I48" s="33"/>
      <c r="J48" s="33"/>
      <c r="K48" s="80"/>
    </row>
    <row r="49" spans="1:11">
      <c r="A49" s="80"/>
      <c r="C49" s="46" t="s">
        <v>106</v>
      </c>
      <c r="D49" s="45">
        <v>0</v>
      </c>
      <c r="E49" s="45">
        <v>0</v>
      </c>
      <c r="F49" s="45">
        <v>0</v>
      </c>
      <c r="G49" s="45">
        <v>0</v>
      </c>
      <c r="H49" s="47">
        <f t="shared" ref="H49:J54" si="10">G49</f>
        <v>0</v>
      </c>
      <c r="I49" s="47">
        <f t="shared" si="10"/>
        <v>0</v>
      </c>
      <c r="J49" s="47">
        <f t="shared" si="10"/>
        <v>0</v>
      </c>
      <c r="K49" s="80"/>
    </row>
    <row r="50" spans="1:11">
      <c r="A50" s="80"/>
      <c r="C50" s="46" t="s">
        <v>107</v>
      </c>
      <c r="D50" s="45">
        <v>0</v>
      </c>
      <c r="E50" s="45">
        <v>0</v>
      </c>
      <c r="F50" s="45">
        <v>0</v>
      </c>
      <c r="G50" s="45">
        <v>0</v>
      </c>
      <c r="H50" s="47">
        <f t="shared" si="10"/>
        <v>0</v>
      </c>
      <c r="I50" s="47">
        <f t="shared" si="10"/>
        <v>0</v>
      </c>
      <c r="J50" s="47">
        <f t="shared" si="10"/>
        <v>0</v>
      </c>
      <c r="K50" s="80"/>
    </row>
    <row r="51" spans="1:11">
      <c r="A51" s="80"/>
      <c r="C51" s="46" t="s">
        <v>108</v>
      </c>
      <c r="D51" s="45">
        <v>0</v>
      </c>
      <c r="E51" s="45">
        <v>0</v>
      </c>
      <c r="F51" s="45">
        <v>0</v>
      </c>
      <c r="G51" s="45">
        <v>0</v>
      </c>
      <c r="H51" s="47">
        <f t="shared" si="10"/>
        <v>0</v>
      </c>
      <c r="I51" s="47">
        <f t="shared" si="10"/>
        <v>0</v>
      </c>
      <c r="J51" s="47">
        <f t="shared" si="10"/>
        <v>0</v>
      </c>
      <c r="K51" s="80"/>
    </row>
    <row r="52" spans="1:11">
      <c r="A52" s="80"/>
      <c r="C52" s="46" t="s">
        <v>109</v>
      </c>
      <c r="D52" s="44">
        <v>10204</v>
      </c>
      <c r="E52" s="44">
        <v>11431</v>
      </c>
      <c r="F52" s="44">
        <v>11431</v>
      </c>
      <c r="G52" s="44">
        <v>10833</v>
      </c>
      <c r="H52" s="47">
        <f>'Equity Shares'!H15</f>
        <v>10833</v>
      </c>
      <c r="I52" s="47">
        <f>'Equity Shares'!I15</f>
        <v>10833</v>
      </c>
      <c r="J52" s="47">
        <f>'Equity Shares'!J15</f>
        <v>10833</v>
      </c>
      <c r="K52" s="80"/>
    </row>
    <row r="53" spans="1:11">
      <c r="A53" s="80"/>
      <c r="C53" s="46" t="s">
        <v>110</v>
      </c>
      <c r="D53" s="44">
        <v>2860</v>
      </c>
      <c r="E53" s="44">
        <v>1633</v>
      </c>
      <c r="F53" s="44">
        <v>1633</v>
      </c>
      <c r="G53" s="44">
        <v>1633</v>
      </c>
      <c r="H53" s="47">
        <f>'Equity Shares'!H26</f>
        <v>1633</v>
      </c>
      <c r="I53" s="47">
        <f>'Equity Shares'!I26</f>
        <v>1633</v>
      </c>
      <c r="J53" s="47">
        <f>'Equity Shares'!J26</f>
        <v>1633</v>
      </c>
      <c r="K53" s="80"/>
    </row>
    <row r="54" spans="1:11">
      <c r="A54" s="80"/>
      <c r="C54" s="46" t="s">
        <v>111</v>
      </c>
      <c r="D54" s="45">
        <v>0</v>
      </c>
      <c r="E54" s="45">
        <v>0</v>
      </c>
      <c r="F54" s="45">
        <v>0</v>
      </c>
      <c r="G54" s="45">
        <v>0</v>
      </c>
      <c r="H54" s="47">
        <f t="shared" si="10"/>
        <v>0</v>
      </c>
      <c r="I54" s="47">
        <f t="shared" si="10"/>
        <v>0</v>
      </c>
      <c r="J54" s="47">
        <f t="shared" si="10"/>
        <v>0</v>
      </c>
      <c r="K54" s="80"/>
    </row>
    <row r="55" spans="1:11">
      <c r="A55" s="80"/>
      <c r="C55" s="41" t="s">
        <v>102</v>
      </c>
      <c r="D55" s="44">
        <v>135953</v>
      </c>
      <c r="E55" s="44">
        <v>135953</v>
      </c>
      <c r="F55" s="44">
        <v>135953</v>
      </c>
      <c r="G55" s="44">
        <v>135953</v>
      </c>
      <c r="H55" s="47">
        <f>'Equity Shares'!H37</f>
        <v>135953</v>
      </c>
      <c r="I55" s="47">
        <f>'Equity Shares'!I37</f>
        <v>135953</v>
      </c>
      <c r="J55" s="47">
        <f>'Equity Shares'!J37</f>
        <v>135953</v>
      </c>
      <c r="K55" s="80"/>
    </row>
    <row r="56" spans="1:11">
      <c r="A56" s="80"/>
      <c r="C56" s="49" t="s">
        <v>103</v>
      </c>
      <c r="D56" s="50">
        <v>724486</v>
      </c>
      <c r="E56" s="50">
        <v>1112462</v>
      </c>
      <c r="F56" s="50">
        <v>1352111</v>
      </c>
      <c r="G56" s="50">
        <v>1395183</v>
      </c>
      <c r="H56" s="51">
        <f>'Equity Shares'!H48</f>
        <v>1958448.058806719</v>
      </c>
      <c r="I56" s="51">
        <f>'Equity Shares'!I48</f>
        <v>2535872.7411945499</v>
      </c>
      <c r="J56" s="51">
        <f>'Equity Shares'!J48</f>
        <v>3155763.6561249909</v>
      </c>
      <c r="K56" s="80"/>
    </row>
    <row r="57" spans="1:11">
      <c r="A57" s="80"/>
      <c r="C57" s="41" t="s">
        <v>116</v>
      </c>
      <c r="D57" s="44">
        <v>-100463</v>
      </c>
      <c r="E57" s="44">
        <v>-84837</v>
      </c>
      <c r="F57" s="44">
        <v>-4276</v>
      </c>
      <c r="G57" s="44">
        <v>1885</v>
      </c>
      <c r="H57" s="47">
        <f>'Equity Shares'!H59</f>
        <v>1885</v>
      </c>
      <c r="I57" s="47">
        <f>'Equity Shares'!I59</f>
        <v>1885</v>
      </c>
      <c r="J57" s="47">
        <f>'Equity Shares'!J59</f>
        <v>1885</v>
      </c>
      <c r="K57" s="80"/>
    </row>
    <row r="58" spans="1:11">
      <c r="A58" s="80"/>
      <c r="C58" s="46" t="s">
        <v>112</v>
      </c>
      <c r="D58" s="44">
        <v>-60845</v>
      </c>
      <c r="E58" s="44">
        <v>-60845</v>
      </c>
      <c r="F58" s="44">
        <v>-60845</v>
      </c>
      <c r="G58" s="44">
        <v>-127467</v>
      </c>
      <c r="H58" s="47">
        <f>'Equity Shares'!H70</f>
        <v>-127467</v>
      </c>
      <c r="I58" s="47">
        <f>'Equity Shares'!I70</f>
        <v>-127467</v>
      </c>
      <c r="J58" s="47">
        <f>'Equity Shares'!J70</f>
        <v>-127467</v>
      </c>
      <c r="K58" s="80"/>
    </row>
    <row r="59" spans="1:11">
      <c r="A59" s="80"/>
      <c r="C59" s="46" t="s">
        <v>113</v>
      </c>
      <c r="D59" s="45">
        <v>-409</v>
      </c>
      <c r="E59" s="45">
        <v>-409</v>
      </c>
      <c r="F59" s="45">
        <v>-409</v>
      </c>
      <c r="G59" s="45">
        <v>-409</v>
      </c>
      <c r="H59" s="47">
        <f>'Equity Shares'!H81</f>
        <v>-409</v>
      </c>
      <c r="I59" s="47">
        <f>'Equity Shares'!I81</f>
        <v>-409</v>
      </c>
      <c r="J59" s="47">
        <f>'Equity Shares'!J81</f>
        <v>-409</v>
      </c>
      <c r="K59" s="80"/>
    </row>
    <row r="60" spans="1:11">
      <c r="A60" s="80"/>
      <c r="C60" s="76" t="s">
        <v>104</v>
      </c>
      <c r="D60" s="32">
        <v>711786</v>
      </c>
      <c r="E60" s="32">
        <v>1115388</v>
      </c>
      <c r="F60" s="32">
        <v>1435598</v>
      </c>
      <c r="G60" s="32">
        <v>1417611</v>
      </c>
      <c r="H60" s="48">
        <f>'Equity Shares'!H92</f>
        <v>1980876.058806719</v>
      </c>
      <c r="I60" s="48">
        <f>'Equity Shares'!I92</f>
        <v>2558300.7411945499</v>
      </c>
      <c r="J60" s="48">
        <f>'Equity Shares'!J92</f>
        <v>3178191.6561249909</v>
      </c>
      <c r="K60" s="80"/>
    </row>
    <row r="61" spans="1:11" ht="15" thickBot="1">
      <c r="A61" s="80"/>
      <c r="C61" s="75" t="s">
        <v>105</v>
      </c>
      <c r="D61" s="30">
        <v>3445570</v>
      </c>
      <c r="E61" s="30">
        <v>3709545</v>
      </c>
      <c r="F61" s="30">
        <v>4288942</v>
      </c>
      <c r="G61" s="30">
        <v>5313139</v>
      </c>
      <c r="H61" s="38">
        <f t="shared" ref="H61:J61" si="11">SUM(H46,H60)</f>
        <v>5701405.2100970726</v>
      </c>
      <c r="I61" s="38">
        <f t="shared" si="11"/>
        <v>6295157.365721561</v>
      </c>
      <c r="J61" s="38">
        <f t="shared" si="11"/>
        <v>7001013.6702562962</v>
      </c>
      <c r="K61" s="80"/>
    </row>
    <row r="62" spans="1:11" ht="15" thickTop="1">
      <c r="A62" s="80"/>
      <c r="H62" s="4"/>
      <c r="I62" s="4"/>
      <c r="J62" s="4"/>
      <c r="K62" s="80"/>
    </row>
    <row r="63" spans="1:11">
      <c r="A63" s="80"/>
      <c r="H63" s="4"/>
      <c r="I63" s="4"/>
      <c r="J63" s="4"/>
      <c r="K63" s="80"/>
    </row>
    <row r="64" spans="1:11">
      <c r="A64" s="80"/>
      <c r="H64" s="4"/>
      <c r="I64" s="4"/>
      <c r="J64" s="4"/>
      <c r="K64" s="80"/>
    </row>
    <row r="65" spans="1:11">
      <c r="A65" s="80"/>
      <c r="C65" s="34" t="s">
        <v>120</v>
      </c>
      <c r="D65" s="35">
        <f t="shared" ref="D65:J65" si="12">D26-D61</f>
        <v>0</v>
      </c>
      <c r="E65" s="35">
        <f t="shared" si="12"/>
        <v>0</v>
      </c>
      <c r="F65" s="35">
        <f t="shared" si="12"/>
        <v>0</v>
      </c>
      <c r="G65" s="35">
        <f t="shared" si="12"/>
        <v>0</v>
      </c>
      <c r="H65" s="36">
        <f t="shared" si="12"/>
        <v>0</v>
      </c>
      <c r="I65" s="36">
        <f t="shared" si="12"/>
        <v>0</v>
      </c>
      <c r="J65" s="37">
        <f t="shared" si="12"/>
        <v>0</v>
      </c>
      <c r="K65" s="80"/>
    </row>
    <row r="66" spans="1:11">
      <c r="A66" s="80"/>
      <c r="H66" s="4"/>
      <c r="I66" s="4"/>
      <c r="J66" s="4"/>
      <c r="K66" s="80"/>
    </row>
    <row r="67" spans="1:11">
      <c r="A67" s="80"/>
      <c r="H67" s="4"/>
      <c r="I67" s="4"/>
      <c r="J67" s="4"/>
      <c r="K67" s="80"/>
    </row>
    <row r="68" spans="1:11">
      <c r="A68" s="80"/>
      <c r="H68" s="4"/>
      <c r="I68" s="4"/>
      <c r="J68" s="4"/>
      <c r="K68" s="80"/>
    </row>
    <row r="69" spans="1:11">
      <c r="A69" s="80"/>
      <c r="H69" s="4"/>
      <c r="I69" s="4"/>
      <c r="J69" s="4"/>
      <c r="K69" s="80"/>
    </row>
    <row r="70" spans="1:11">
      <c r="A70" s="80"/>
      <c r="H70" s="4"/>
      <c r="I70" s="4"/>
      <c r="J70" s="4"/>
      <c r="K70" s="80"/>
    </row>
    <row r="71" spans="1:11">
      <c r="A71" s="80"/>
      <c r="H71" s="4"/>
      <c r="I71" s="4"/>
      <c r="J71" s="4"/>
      <c r="K71" s="80"/>
    </row>
    <row r="72" spans="1:11">
      <c r="A72" s="80"/>
      <c r="H72" s="4"/>
      <c r="I72" s="4"/>
      <c r="J72" s="4"/>
      <c r="K72" s="80"/>
    </row>
    <row r="73" spans="1:11">
      <c r="A73" s="80"/>
      <c r="H73" s="4"/>
      <c r="I73" s="4"/>
      <c r="J73" s="4"/>
      <c r="K73" s="80"/>
    </row>
    <row r="74" spans="1:11">
      <c r="A74" s="80"/>
      <c r="H74" s="4"/>
      <c r="I74" s="4"/>
      <c r="J74" s="4"/>
      <c r="K74" s="80"/>
    </row>
    <row r="75" spans="1:11">
      <c r="A75" s="80"/>
      <c r="H75" s="4"/>
      <c r="I75" s="4"/>
      <c r="J75" s="4"/>
      <c r="K75" s="80"/>
    </row>
    <row r="76" spans="1:11">
      <c r="A76" s="80"/>
      <c r="H76" s="4"/>
      <c r="I76" s="4"/>
      <c r="J76" s="4"/>
      <c r="K76" s="80"/>
    </row>
    <row r="77" spans="1:11">
      <c r="A77" s="80"/>
      <c r="H77" s="4"/>
      <c r="I77" s="4"/>
      <c r="J77" s="4"/>
      <c r="K77" s="80"/>
    </row>
    <row r="78" spans="1:11">
      <c r="A78" s="80"/>
      <c r="H78" s="4"/>
      <c r="I78" s="4"/>
      <c r="J78" s="4"/>
      <c r="K78" s="80"/>
    </row>
    <row r="79" spans="1:11">
      <c r="A79" s="80"/>
      <c r="H79" s="4"/>
      <c r="I79" s="4"/>
      <c r="J79" s="4"/>
      <c r="K79" s="80"/>
    </row>
    <row r="80" spans="1:11">
      <c r="A80" s="80"/>
      <c r="H80" s="4"/>
      <c r="I80" s="4"/>
      <c r="J80" s="4"/>
      <c r="K80" s="80"/>
    </row>
    <row r="81" spans="1:11">
      <c r="A81" s="80"/>
      <c r="H81" s="4"/>
      <c r="I81" s="4"/>
      <c r="J81" s="4"/>
      <c r="K81" s="80"/>
    </row>
    <row r="82" spans="1:11">
      <c r="A82" s="80"/>
      <c r="H82" s="4"/>
      <c r="I82" s="4"/>
      <c r="J82" s="4"/>
      <c r="K82" s="80"/>
    </row>
    <row r="83" spans="1:11">
      <c r="A83" s="80"/>
      <c r="H83" s="4"/>
      <c r="I83" s="4"/>
      <c r="J83" s="4"/>
      <c r="K83" s="80"/>
    </row>
    <row r="84" spans="1:11">
      <c r="A84" s="80"/>
      <c r="H84" s="4"/>
      <c r="I84" s="4"/>
      <c r="J84" s="4"/>
      <c r="K84" s="80"/>
    </row>
    <row r="85" spans="1:11">
      <c r="A85" s="80"/>
      <c r="H85" s="4"/>
      <c r="I85" s="4"/>
      <c r="J85" s="4"/>
      <c r="K85" s="80"/>
    </row>
    <row r="86" spans="1:11">
      <c r="A86" s="80"/>
      <c r="H86" s="4"/>
      <c r="I86" s="4"/>
      <c r="J86" s="4"/>
      <c r="K86" s="80"/>
    </row>
    <row r="87" spans="1:11">
      <c r="A87" s="80"/>
      <c r="H87" s="4"/>
      <c r="I87" s="4"/>
      <c r="J87" s="4"/>
      <c r="K87" s="80"/>
    </row>
    <row r="88" spans="1:11">
      <c r="A88" s="80"/>
      <c r="H88" s="4"/>
      <c r="I88" s="4"/>
      <c r="J88" s="4"/>
      <c r="K88" s="80"/>
    </row>
    <row r="89" spans="1:11">
      <c r="A89" s="80"/>
      <c r="H89" s="4"/>
      <c r="I89" s="4"/>
      <c r="J89" s="4"/>
      <c r="K89" s="80"/>
    </row>
    <row r="90" spans="1:11">
      <c r="A90" s="80"/>
      <c r="H90" s="4"/>
      <c r="I90" s="4"/>
      <c r="J90" s="4"/>
      <c r="K90" s="80"/>
    </row>
    <row r="91" spans="1:11">
      <c r="A91" s="80"/>
      <c r="H91" s="4"/>
      <c r="I91" s="4"/>
      <c r="J91" s="4"/>
      <c r="K91" s="80"/>
    </row>
    <row r="92" spans="1:11">
      <c r="A92" s="80"/>
      <c r="H92" s="4"/>
      <c r="I92" s="4"/>
      <c r="J92" s="4"/>
      <c r="K92" s="80"/>
    </row>
    <row r="93" spans="1:11">
      <c r="A93" s="80"/>
      <c r="H93" s="4"/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</sheetData>
  <mergeCells count="5">
    <mergeCell ref="B2:C2"/>
    <mergeCell ref="E3:G3"/>
    <mergeCell ref="H3:J3"/>
    <mergeCell ref="B4:C4"/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2BDD5-C8FF-4265-8180-DC4892747FBC}">
  <dimension ref="A1:K100"/>
  <sheetViews>
    <sheetView topLeftCell="A36" workbookViewId="0">
      <selection activeCell="B2" sqref="B2:I45"/>
    </sheetView>
  </sheetViews>
  <sheetFormatPr defaultColWidth="0" defaultRowHeight="14.4"/>
  <cols>
    <col min="1" max="2" width="3.77734375" customWidth="1"/>
    <col min="3" max="3" width="50.77734375" customWidth="1"/>
    <col min="4" max="9" width="11.6640625" bestFit="1" customWidth="1"/>
    <col min="10" max="10" width="3.77734375" customWidth="1"/>
    <col min="11" max="11" width="3.77734375" hidden="1" customWidth="1"/>
    <col min="12" max="16384" width="8.88671875" hidden="1"/>
  </cols>
  <sheetData>
    <row r="1" spans="1:10">
      <c r="A1" s="80"/>
      <c r="B1" s="80"/>
      <c r="C1" s="80"/>
      <c r="D1" s="80"/>
      <c r="E1" s="80"/>
      <c r="F1" s="80"/>
      <c r="G1" s="80"/>
      <c r="H1" s="80"/>
      <c r="I1" s="80"/>
      <c r="J1" s="80"/>
    </row>
    <row r="2" spans="1:10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80"/>
    </row>
    <row r="3" spans="1:10">
      <c r="A3" s="80"/>
      <c r="B3" s="267" t="s">
        <v>117</v>
      </c>
      <c r="C3" s="267"/>
      <c r="D3" s="268" t="s">
        <v>8</v>
      </c>
      <c r="E3" s="268"/>
      <c r="F3" s="268"/>
      <c r="G3" s="268" t="s">
        <v>9</v>
      </c>
      <c r="H3" s="268"/>
      <c r="I3" s="268"/>
      <c r="J3" s="80"/>
    </row>
    <row r="4" spans="1:10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80"/>
    </row>
    <row r="5" spans="1:10">
      <c r="A5" s="80"/>
      <c r="G5" s="4"/>
      <c r="H5" s="4"/>
      <c r="I5" s="4"/>
      <c r="J5" s="80"/>
    </row>
    <row r="6" spans="1:10">
      <c r="A6" s="80"/>
      <c r="G6" s="4"/>
      <c r="H6" s="4"/>
      <c r="I6" s="4"/>
      <c r="J6" s="80"/>
    </row>
    <row r="7" spans="1:10">
      <c r="A7" s="80"/>
      <c r="C7" s="18" t="s">
        <v>30</v>
      </c>
      <c r="D7" s="8"/>
      <c r="E7" s="8"/>
      <c r="F7" s="8"/>
      <c r="G7" s="4"/>
      <c r="H7" s="4"/>
      <c r="I7" s="4"/>
      <c r="J7" s="80"/>
    </row>
    <row r="8" spans="1:10">
      <c r="A8" s="80"/>
      <c r="C8" s="13" t="s">
        <v>21</v>
      </c>
      <c r="D8" s="19">
        <v>430158</v>
      </c>
      <c r="E8" s="19">
        <v>408375</v>
      </c>
      <c r="F8" s="19">
        <v>633125</v>
      </c>
      <c r="G8" s="33">
        <f>'Income Statement'!G19</f>
        <v>563265.05880671903</v>
      </c>
      <c r="H8" s="33">
        <f>'Income Statement'!H19</f>
        <v>577424.68238783092</v>
      </c>
      <c r="I8" s="33">
        <f>'Income Statement'!I19</f>
        <v>619890.91493044107</v>
      </c>
      <c r="J8" s="80"/>
    </row>
    <row r="9" spans="1:10" ht="27">
      <c r="A9" s="80"/>
      <c r="C9" s="20" t="s">
        <v>31</v>
      </c>
      <c r="D9" s="8"/>
      <c r="E9" s="8"/>
      <c r="F9" s="8"/>
      <c r="G9" s="33"/>
      <c r="H9" s="33"/>
      <c r="I9" s="33"/>
      <c r="J9" s="80"/>
    </row>
    <row r="10" spans="1:10" ht="27">
      <c r="A10" s="80"/>
      <c r="C10" s="20" t="s">
        <v>32</v>
      </c>
      <c r="D10" s="16">
        <v>147962</v>
      </c>
      <c r="E10" s="16">
        <v>153472</v>
      </c>
      <c r="F10" s="16">
        <v>170343</v>
      </c>
      <c r="G10" s="33">
        <f>FAM!H86</f>
        <v>110645.85438116189</v>
      </c>
      <c r="H10" s="33">
        <f>FAM!I86</f>
        <v>125658.37789725728</v>
      </c>
      <c r="I10" s="33">
        <f>FAM!J86</f>
        <v>140709.76837170406</v>
      </c>
      <c r="J10" s="80"/>
    </row>
    <row r="11" spans="1:10">
      <c r="A11" s="80"/>
      <c r="C11" s="13" t="s">
        <v>33</v>
      </c>
      <c r="D11" s="16">
        <v>23628</v>
      </c>
      <c r="E11" s="16">
        <v>23494</v>
      </c>
      <c r="F11" s="16">
        <v>23448</v>
      </c>
      <c r="G11" s="33"/>
      <c r="H11" s="33"/>
      <c r="I11" s="52"/>
      <c r="J11" s="80"/>
    </row>
    <row r="12" spans="1:10" ht="27">
      <c r="A12" s="80"/>
      <c r="C12" s="20" t="s">
        <v>34</v>
      </c>
      <c r="D12" s="16">
        <v>32301</v>
      </c>
      <c r="E12" s="16">
        <v>159354</v>
      </c>
      <c r="F12" s="16">
        <v>59166</v>
      </c>
      <c r="G12" s="33"/>
      <c r="H12" s="33"/>
      <c r="I12" s="33"/>
      <c r="J12" s="80"/>
    </row>
    <row r="13" spans="1:10">
      <c r="A13" s="80"/>
      <c r="C13" s="13" t="s">
        <v>35</v>
      </c>
      <c r="D13" s="16">
        <v>5642</v>
      </c>
      <c r="E13" s="16">
        <v>7181</v>
      </c>
      <c r="F13" s="16">
        <v>3168</v>
      </c>
      <c r="G13" s="33"/>
      <c r="H13" s="33"/>
      <c r="I13" s="33"/>
      <c r="J13" s="80"/>
    </row>
    <row r="14" spans="1:10">
      <c r="A14" s="80"/>
      <c r="C14" s="13" t="s">
        <v>36</v>
      </c>
      <c r="D14" s="16">
        <v>8977</v>
      </c>
      <c r="E14" s="16">
        <v>-49021</v>
      </c>
      <c r="F14" s="16">
        <v>2529</v>
      </c>
      <c r="G14" s="33">
        <f>'Balance Sheet'!H40-'Balance Sheet'!G40</f>
        <v>17567.892396069103</v>
      </c>
      <c r="H14" s="33">
        <f>'Balance Sheet'!I40-'Balance Sheet'!H40</f>
        <v>-1801.1691711341846</v>
      </c>
      <c r="I14" s="33">
        <f>'Balance Sheet'!J40-'Balance Sheet'!I40</f>
        <v>7820.7242676744645</v>
      </c>
      <c r="J14" s="80"/>
    </row>
    <row r="15" spans="1:10">
      <c r="A15" s="80"/>
      <c r="C15" s="13" t="s">
        <v>37</v>
      </c>
      <c r="D15" s="16">
        <v>1012</v>
      </c>
      <c r="E15" s="13">
        <v>991</v>
      </c>
      <c r="F15" s="16">
        <v>2310</v>
      </c>
      <c r="G15" s="33"/>
      <c r="H15" s="33"/>
      <c r="I15" s="33"/>
      <c r="J15" s="80"/>
    </row>
    <row r="16" spans="1:10">
      <c r="A16" s="80"/>
      <c r="C16" s="13" t="s">
        <v>17</v>
      </c>
      <c r="D16" s="13">
        <v>0</v>
      </c>
      <c r="E16" s="16">
        <v>112796</v>
      </c>
      <c r="F16" s="13">
        <v>0</v>
      </c>
      <c r="G16" s="33">
        <f>'Balance Sheet'!H41-'Balance Sheet'!G41</f>
        <v>6970.446319619703</v>
      </c>
      <c r="H16" s="33">
        <f>'Balance Sheet'!I41-'Balance Sheet'!H41</f>
        <v>1241.5960452646395</v>
      </c>
      <c r="I16" s="33">
        <f>'Balance Sheet'!J41-'Balance Sheet'!I41</f>
        <v>2335.0377900023741</v>
      </c>
      <c r="J16" s="80"/>
    </row>
    <row r="17" spans="1:10">
      <c r="A17" s="80"/>
      <c r="C17" s="13" t="s">
        <v>38</v>
      </c>
      <c r="D17" s="16">
        <v>-18739</v>
      </c>
      <c r="E17" s="13">
        <v>0</v>
      </c>
      <c r="F17" s="13">
        <v>0</v>
      </c>
      <c r="G17" s="33"/>
      <c r="H17" s="33"/>
      <c r="I17" s="33"/>
      <c r="J17" s="80"/>
    </row>
    <row r="18" spans="1:10">
      <c r="A18" s="80"/>
      <c r="C18" s="13" t="s">
        <v>39</v>
      </c>
      <c r="D18" s="16">
        <v>-74784</v>
      </c>
      <c r="E18" s="16">
        <v>29138</v>
      </c>
      <c r="F18" s="16">
        <v>-3774</v>
      </c>
      <c r="G18" s="33">
        <f>'Balance Sheet'!G11-'Balance Sheet'!H11+'Balance Sheet'!G12-'Balance Sheet'!H12+'Balance Sheet'!G13-'Balance Sheet'!H13+'Balance Sheet'!G14-'Balance Sheet'!H14+'Balance Sheet'!G15-'Balance Sheet'!H15+'Balance Sheet'!G16-'Balance Sheet'!H16+'Balance Sheet'!H32-'Balance Sheet'!G32+'Balance Sheet'!H33-'Balance Sheet'!G33+'Balance Sheet'!H34-'Balance Sheet'!G34+'Balance Sheet'!H35-'Balance Sheet'!G35</f>
        <v>-25932.498894161865</v>
      </c>
      <c r="H18" s="33">
        <f>'Balance Sheet'!H11-'Balance Sheet'!I11+'Balance Sheet'!H12-'Balance Sheet'!I12+'Balance Sheet'!H13-'Balance Sheet'!I13+'Balance Sheet'!H14-'Balance Sheet'!I14+'Balance Sheet'!H15-'Balance Sheet'!I15+'Balance Sheet'!H16-'Balance Sheet'!I16+'Balance Sheet'!I32-'Balance Sheet'!H32+'Balance Sheet'!I33-'Balance Sheet'!H33+'Balance Sheet'!I34-'Balance Sheet'!H34+'Balance Sheet'!I35-'Balance Sheet'!H35</f>
        <v>8404.432484644698</v>
      </c>
      <c r="I18" s="33">
        <f>'Balance Sheet'!I11-'Balance Sheet'!J11+'Balance Sheet'!I12-'Balance Sheet'!J12+'Balance Sheet'!I13-'Balance Sheet'!J13+'Balance Sheet'!I14-'Balance Sheet'!J14+'Balance Sheet'!I15-'Balance Sheet'!J15+'Balance Sheet'!I16-'Balance Sheet'!J16+'Balance Sheet'!J32-'Balance Sheet'!I32+'Balance Sheet'!J33-'Balance Sheet'!I33+'Balance Sheet'!J34-'Balance Sheet'!I34+'Balance Sheet'!J35-'Balance Sheet'!I35</f>
        <v>-11604.462755865417</v>
      </c>
      <c r="J18" s="80"/>
    </row>
    <row r="19" spans="1:10">
      <c r="A19" s="80"/>
      <c r="C19" s="13" t="s">
        <v>40</v>
      </c>
      <c r="D19" s="16">
        <v>31779</v>
      </c>
      <c r="E19" s="16">
        <v>12708</v>
      </c>
      <c r="F19" s="16">
        <v>8904</v>
      </c>
      <c r="G19" s="33">
        <f>'Balance Sheet'!G22-'Balance Sheet'!H22+'Balance Sheet'!G23-'Balance Sheet'!H23+'Balance Sheet'!G24-'Balance Sheet'!H24+'Balance Sheet'!G25-'Balance Sheet'!H25</f>
        <v>-84123.938328950448</v>
      </c>
      <c r="H19" s="33">
        <f>'Balance Sheet'!H22-'Balance Sheet'!I22+'Balance Sheet'!H23-'Balance Sheet'!I23+'Balance Sheet'!H24-'Balance Sheet'!I24+'Balance Sheet'!H25-'Balance Sheet'!I25</f>
        <v>-25234.529763972248</v>
      </c>
      <c r="I19" s="33">
        <f>'Balance Sheet'!I22-'Balance Sheet'!J22+'Balance Sheet'!I23-'Balance Sheet'!J23+'Balance Sheet'!I24-'Balance Sheet'!J24+'Balance Sheet'!I25-'Balance Sheet'!J25</f>
        <v>-45603.745779242301</v>
      </c>
      <c r="J19" s="80"/>
    </row>
    <row r="20" spans="1:10">
      <c r="A20" s="80"/>
      <c r="C20" s="13" t="s">
        <v>41</v>
      </c>
      <c r="D20" s="16">
        <v>-33430</v>
      </c>
      <c r="E20" s="16">
        <v>-47798</v>
      </c>
      <c r="F20" s="16">
        <v>-22862</v>
      </c>
      <c r="G20" s="33">
        <f>'Balance Sheet'!H42-'Balance Sheet'!G42</f>
        <v>42346.412125560455</v>
      </c>
      <c r="H20" s="33">
        <f>'Balance Sheet'!I42-'Balance Sheet'!H42</f>
        <v>48384.31971317227</v>
      </c>
      <c r="I20" s="33">
        <f>'Balance Sheet'!J42-'Balance Sheet'!I42</f>
        <v>32046.188481347635</v>
      </c>
      <c r="J20" s="80"/>
    </row>
    <row r="21" spans="1:10">
      <c r="A21" s="80"/>
      <c r="C21" s="18" t="s">
        <v>42</v>
      </c>
      <c r="D21" s="27">
        <v>124348</v>
      </c>
      <c r="E21" s="27">
        <v>402315</v>
      </c>
      <c r="F21" s="27">
        <v>243232</v>
      </c>
      <c r="G21" s="40">
        <f t="shared" ref="G21:I21" si="1">SUM(G10:G20)</f>
        <v>67474.16799929885</v>
      </c>
      <c r="H21" s="40">
        <f t="shared" si="1"/>
        <v>156653.02720523244</v>
      </c>
      <c r="I21" s="40">
        <f t="shared" si="1"/>
        <v>125703.5103756208</v>
      </c>
      <c r="J21" s="80"/>
    </row>
    <row r="22" spans="1:10" ht="15" thickBot="1">
      <c r="A22" s="80"/>
      <c r="C22" s="18" t="s">
        <v>43</v>
      </c>
      <c r="D22" s="28">
        <v>554506</v>
      </c>
      <c r="E22" s="28">
        <v>810690</v>
      </c>
      <c r="F22" s="28">
        <v>876357</v>
      </c>
      <c r="G22" s="38">
        <f t="shared" ref="G22:I22" si="2">SUM(G8,G21)</f>
        <v>630739.22680601792</v>
      </c>
      <c r="H22" s="38">
        <f t="shared" si="2"/>
        <v>734077.70959306334</v>
      </c>
      <c r="I22" s="38">
        <f t="shared" si="2"/>
        <v>745594.42530606186</v>
      </c>
      <c r="J22" s="80"/>
    </row>
    <row r="23" spans="1:10" ht="15" thickTop="1">
      <c r="A23" s="80"/>
      <c r="C23" s="8"/>
      <c r="D23" s="8"/>
      <c r="E23" s="8"/>
      <c r="F23" s="8"/>
      <c r="G23" s="33"/>
      <c r="H23" s="33"/>
      <c r="I23" s="33"/>
      <c r="J23" s="80"/>
    </row>
    <row r="24" spans="1:10">
      <c r="A24" s="80"/>
      <c r="C24" s="18" t="s">
        <v>44</v>
      </c>
      <c r="D24" s="13"/>
      <c r="E24" s="13"/>
      <c r="F24" s="13"/>
      <c r="G24" s="33"/>
      <c r="H24" s="33"/>
      <c r="I24" s="33"/>
      <c r="J24" s="80"/>
    </row>
    <row r="25" spans="1:10">
      <c r="A25" s="80"/>
      <c r="C25" s="13" t="s">
        <v>45</v>
      </c>
      <c r="D25" s="19">
        <v>-298611</v>
      </c>
      <c r="E25" s="19">
        <v>-282304</v>
      </c>
      <c r="F25" s="19">
        <v>-371015</v>
      </c>
      <c r="G25" s="33">
        <f>-FAM!H80</f>
        <v>-347151.11992334161</v>
      </c>
      <c r="H25" s="33">
        <f>-FAM!I80</f>
        <v>-361983.51852165535</v>
      </c>
      <c r="I25" s="33">
        <f>-FAM!J80</f>
        <v>-377646.74746471009</v>
      </c>
      <c r="J25" s="80"/>
    </row>
    <row r="26" spans="1:10">
      <c r="A26" s="80"/>
      <c r="C26" s="13" t="s">
        <v>46</v>
      </c>
      <c r="D26" s="13">
        <v>0</v>
      </c>
      <c r="E26" s="13">
        <v>0</v>
      </c>
      <c r="F26" s="16">
        <v>-446309</v>
      </c>
      <c r="G26" s="33">
        <f>'Balance Sheet'!G10-'Balance Sheet'!H10</f>
        <v>196576.33859277563</v>
      </c>
      <c r="H26" s="33">
        <f>'Balance Sheet'!H10-'Balance Sheet'!I10</f>
        <v>-40838.665535402703</v>
      </c>
      <c r="I26" s="33">
        <f>'Balance Sheet'!I10-'Balance Sheet'!J10</f>
        <v>-56883.667386875226</v>
      </c>
      <c r="J26" s="80"/>
    </row>
    <row r="27" spans="1:10">
      <c r="A27" s="80"/>
      <c r="C27" s="13" t="s">
        <v>47</v>
      </c>
      <c r="D27" s="13">
        <v>0</v>
      </c>
      <c r="E27" s="13">
        <v>0</v>
      </c>
      <c r="F27" s="16">
        <v>150274</v>
      </c>
      <c r="G27" s="33"/>
      <c r="H27" s="33"/>
      <c r="I27" s="33"/>
      <c r="J27" s="80"/>
    </row>
    <row r="28" spans="1:10">
      <c r="A28" s="80"/>
      <c r="C28" s="13" t="s">
        <v>48</v>
      </c>
      <c r="D28" s="16">
        <v>-3094</v>
      </c>
      <c r="E28" s="16">
        <v>-13741</v>
      </c>
      <c r="F28" s="16">
        <v>-15720</v>
      </c>
      <c r="G28" s="33"/>
      <c r="H28" s="33"/>
      <c r="I28" s="33"/>
      <c r="J28" s="80"/>
    </row>
    <row r="29" spans="1:10">
      <c r="A29" s="80"/>
      <c r="C29" s="13" t="s">
        <v>49</v>
      </c>
      <c r="D29" s="16">
        <v>7369</v>
      </c>
      <c r="E29" s="13">
        <v>695</v>
      </c>
      <c r="F29" s="13">
        <v>569</v>
      </c>
      <c r="G29" s="33"/>
      <c r="H29" s="33"/>
      <c r="I29" s="33"/>
      <c r="J29" s="80"/>
    </row>
    <row r="30" spans="1:10" ht="15" thickBot="1">
      <c r="A30" s="80"/>
      <c r="C30" s="13" t="s">
        <v>50</v>
      </c>
      <c r="D30" s="15">
        <v>-30649</v>
      </c>
      <c r="E30" s="14">
        <v>0</v>
      </c>
      <c r="F30" s="14">
        <v>0</v>
      </c>
      <c r="G30" s="33"/>
      <c r="H30" s="33"/>
      <c r="I30" s="33"/>
      <c r="J30" s="80"/>
    </row>
    <row r="31" spans="1:10" ht="15" thickBot="1">
      <c r="A31" s="80"/>
      <c r="C31" s="18" t="s">
        <v>51</v>
      </c>
      <c r="D31" s="17">
        <v>-324985</v>
      </c>
      <c r="E31" s="17">
        <v>-295350</v>
      </c>
      <c r="F31" s="17">
        <v>-682201</v>
      </c>
      <c r="G31" s="38">
        <f t="shared" ref="G31:I31" si="3">SUM(G25:G30)</f>
        <v>-150574.78133056598</v>
      </c>
      <c r="H31" s="38">
        <f t="shared" si="3"/>
        <v>-402822.18405705807</v>
      </c>
      <c r="I31" s="38">
        <f t="shared" si="3"/>
        <v>-434530.41485158529</v>
      </c>
      <c r="J31" s="80"/>
    </row>
    <row r="32" spans="1:10" ht="15" thickTop="1">
      <c r="A32" s="80"/>
      <c r="C32" s="8"/>
      <c r="D32" s="10"/>
      <c r="E32" s="10"/>
      <c r="F32" s="10"/>
      <c r="G32" s="33"/>
      <c r="H32" s="33"/>
      <c r="I32" s="33"/>
      <c r="J32" s="80"/>
    </row>
    <row r="33" spans="1:10">
      <c r="A33" s="80"/>
      <c r="C33" s="18" t="s">
        <v>52</v>
      </c>
      <c r="D33" s="8"/>
      <c r="E33" s="8"/>
      <c r="F33" s="8"/>
      <c r="G33" s="33"/>
      <c r="H33" s="33"/>
      <c r="I33" s="33"/>
      <c r="J33" s="80"/>
    </row>
    <row r="34" spans="1:10">
      <c r="A34" s="80"/>
      <c r="C34" s="13" t="s">
        <v>53</v>
      </c>
      <c r="D34" s="9">
        <v>0</v>
      </c>
      <c r="E34" s="9">
        <v>0</v>
      </c>
      <c r="F34" s="19">
        <v>1200000</v>
      </c>
      <c r="G34" s="33"/>
      <c r="H34" s="33"/>
      <c r="I34" s="33"/>
      <c r="J34" s="80"/>
    </row>
    <row r="35" spans="1:10">
      <c r="A35" s="80"/>
      <c r="C35" s="13" t="s">
        <v>54</v>
      </c>
      <c r="D35" s="13">
        <v>0</v>
      </c>
      <c r="E35" s="13">
        <v>0</v>
      </c>
      <c r="F35" s="16">
        <v>-625654</v>
      </c>
      <c r="G35" s="33"/>
      <c r="H35" s="33"/>
      <c r="I35" s="33"/>
      <c r="J35" s="80"/>
    </row>
    <row r="36" spans="1:10">
      <c r="A36" s="80"/>
      <c r="C36" s="13" t="s">
        <v>55</v>
      </c>
      <c r="D36" s="16">
        <v>-9374</v>
      </c>
      <c r="E36" s="16">
        <v>-46868</v>
      </c>
      <c r="F36" s="16">
        <v>-185635</v>
      </c>
      <c r="G36" s="33"/>
      <c r="H36" s="33"/>
      <c r="I36" s="33"/>
      <c r="J36" s="80"/>
    </row>
    <row r="37" spans="1:10">
      <c r="A37" s="80"/>
      <c r="C37" s="13" t="s">
        <v>56</v>
      </c>
      <c r="D37" s="16">
        <v>-36515</v>
      </c>
      <c r="E37" s="16">
        <v>-28208</v>
      </c>
      <c r="F37" s="16">
        <v>-64312</v>
      </c>
      <c r="G37" s="33"/>
      <c r="H37" s="33"/>
      <c r="I37" s="33"/>
      <c r="J37" s="80"/>
    </row>
    <row r="38" spans="1:10">
      <c r="A38" s="80"/>
      <c r="C38" s="13" t="s">
        <v>57</v>
      </c>
      <c r="D38" s="13">
        <v>-310</v>
      </c>
      <c r="E38" s="13">
        <v>-340</v>
      </c>
      <c r="F38" s="16">
        <v>-15512</v>
      </c>
      <c r="G38" s="33">
        <f>DRS!H62</f>
        <v>68516.688797479554</v>
      </c>
      <c r="H38" s="33">
        <f>DRS!I62</f>
        <v>19576.19679927986</v>
      </c>
      <c r="I38" s="33">
        <f>DRS!J62</f>
        <v>0</v>
      </c>
      <c r="J38" s="80"/>
    </row>
    <row r="39" spans="1:10">
      <c r="A39" s="80"/>
      <c r="C39" s="13" t="s">
        <v>58</v>
      </c>
      <c r="D39" s="16">
        <v>-2988</v>
      </c>
      <c r="E39" s="16">
        <v>-2303</v>
      </c>
      <c r="F39" s="16">
        <v>-2488</v>
      </c>
      <c r="G39" s="33"/>
      <c r="H39" s="33"/>
      <c r="I39" s="33"/>
      <c r="J39" s="80"/>
    </row>
    <row r="40" spans="1:10" ht="15" thickBot="1">
      <c r="A40" s="80"/>
      <c r="C40" s="13" t="s">
        <v>59</v>
      </c>
      <c r="D40" s="15">
        <v>-125000</v>
      </c>
      <c r="E40" s="14">
        <v>0</v>
      </c>
      <c r="F40" s="14">
        <v>0</v>
      </c>
      <c r="G40" s="33">
        <f>DRS!H63</f>
        <v>-350000</v>
      </c>
      <c r="H40" s="33">
        <f>DRS!I63</f>
        <v>-100000</v>
      </c>
      <c r="I40" s="33">
        <f>DRS!J63</f>
        <v>0</v>
      </c>
      <c r="J40" s="80"/>
    </row>
    <row r="41" spans="1:10" ht="15" thickBot="1">
      <c r="A41" s="80"/>
      <c r="C41" s="18" t="s">
        <v>60</v>
      </c>
      <c r="D41" s="17">
        <v>-174187</v>
      </c>
      <c r="E41" s="17">
        <v>-77719</v>
      </c>
      <c r="F41" s="17">
        <v>306399</v>
      </c>
      <c r="G41" s="38">
        <f t="shared" ref="G41:I41" si="4">SUM(G34:G40)</f>
        <v>-281483.31120252045</v>
      </c>
      <c r="H41" s="38">
        <f t="shared" si="4"/>
        <v>-80423.80320072014</v>
      </c>
      <c r="I41" s="38">
        <f t="shared" si="4"/>
        <v>0</v>
      </c>
      <c r="J41" s="80"/>
    </row>
    <row r="42" spans="1:10" ht="15" thickTop="1">
      <c r="A42" s="80"/>
      <c r="C42" s="8"/>
      <c r="D42" s="10"/>
      <c r="E42" s="10"/>
      <c r="F42" s="10"/>
      <c r="G42" s="33"/>
      <c r="H42" s="33"/>
      <c r="I42" s="33"/>
      <c r="J42" s="80"/>
    </row>
    <row r="43" spans="1:10">
      <c r="A43" s="80"/>
      <c r="C43" s="18" t="s">
        <v>61</v>
      </c>
      <c r="D43" s="39">
        <v>55334</v>
      </c>
      <c r="E43" s="39">
        <v>437621</v>
      </c>
      <c r="F43" s="39">
        <v>500555</v>
      </c>
      <c r="G43" s="53">
        <f t="shared" ref="G43:I43" si="5">SUM(G22,G31,G41)</f>
        <v>198681.13427293149</v>
      </c>
      <c r="H43" s="53">
        <f t="shared" si="5"/>
        <v>250831.72233528513</v>
      </c>
      <c r="I43" s="53">
        <f t="shared" si="5"/>
        <v>311064.01045447658</v>
      </c>
      <c r="J43" s="80"/>
    </row>
    <row r="44" spans="1:10">
      <c r="A44" s="80"/>
      <c r="C44" s="13" t="s">
        <v>62</v>
      </c>
      <c r="D44" s="16">
        <v>142314</v>
      </c>
      <c r="E44" s="16">
        <v>197648</v>
      </c>
      <c r="F44" s="16">
        <v>635269</v>
      </c>
      <c r="G44" s="33">
        <f t="shared" ref="G44:I44" si="6">F45</f>
        <v>1135824</v>
      </c>
      <c r="H44" s="33">
        <f t="shared" si="6"/>
        <v>1334505.1342729316</v>
      </c>
      <c r="I44" s="33">
        <f t="shared" si="6"/>
        <v>1585336.8566082167</v>
      </c>
      <c r="J44" s="80"/>
    </row>
    <row r="45" spans="1:10" ht="15" thickBot="1">
      <c r="A45" s="80"/>
      <c r="C45" s="18" t="s">
        <v>63</v>
      </c>
      <c r="D45" s="28">
        <v>197648</v>
      </c>
      <c r="E45" s="28">
        <v>635269</v>
      </c>
      <c r="F45" s="28">
        <v>1135824</v>
      </c>
      <c r="G45" s="38">
        <f t="shared" ref="G45:I45" si="7">SUM(G43,G44)</f>
        <v>1334505.1342729316</v>
      </c>
      <c r="H45" s="38">
        <f t="shared" si="7"/>
        <v>1585336.8566082167</v>
      </c>
      <c r="I45" s="38">
        <f t="shared" si="7"/>
        <v>1896400.8670626932</v>
      </c>
      <c r="J45" s="80"/>
    </row>
    <row r="46" spans="1:10" ht="15" thickTop="1">
      <c r="A46" s="80"/>
      <c r="G46" s="4"/>
      <c r="H46" s="4"/>
      <c r="I46" s="4"/>
      <c r="J46" s="80"/>
    </row>
    <row r="47" spans="1:10">
      <c r="A47" s="80"/>
      <c r="G47" s="4"/>
      <c r="H47" s="4"/>
      <c r="I47" s="4"/>
      <c r="J47" s="80"/>
    </row>
    <row r="48" spans="1:10">
      <c r="A48" s="80"/>
      <c r="G48" s="4"/>
      <c r="H48" s="4"/>
      <c r="I48" s="4"/>
      <c r="J48" s="80"/>
    </row>
    <row r="49" spans="1:10">
      <c r="A49" s="80"/>
      <c r="G49" s="4"/>
      <c r="H49" s="4"/>
      <c r="I49" s="4"/>
      <c r="J49" s="80"/>
    </row>
    <row r="50" spans="1:10">
      <c r="A50" s="80"/>
      <c r="G50" s="4"/>
      <c r="H50" s="4"/>
      <c r="I50" s="4"/>
      <c r="J50" s="80"/>
    </row>
    <row r="51" spans="1:10">
      <c r="A51" s="80"/>
      <c r="G51" s="4"/>
      <c r="H51" s="4"/>
      <c r="I51" s="4"/>
      <c r="J51" s="80"/>
    </row>
    <row r="52" spans="1:10">
      <c r="A52" s="80"/>
      <c r="G52" s="4"/>
      <c r="H52" s="4"/>
      <c r="I52" s="4"/>
      <c r="J52" s="80"/>
    </row>
    <row r="53" spans="1:10">
      <c r="A53" s="80"/>
      <c r="G53" s="4"/>
      <c r="H53" s="4"/>
      <c r="I53" s="4"/>
      <c r="J53" s="80"/>
    </row>
    <row r="54" spans="1:10">
      <c r="A54" s="80"/>
      <c r="G54" s="4"/>
      <c r="H54" s="4"/>
      <c r="I54" s="4"/>
      <c r="J54" s="80"/>
    </row>
    <row r="55" spans="1:10">
      <c r="A55" s="80"/>
      <c r="G55" s="4"/>
      <c r="H55" s="4"/>
      <c r="I55" s="4"/>
      <c r="J55" s="80"/>
    </row>
    <row r="56" spans="1:10">
      <c r="A56" s="80"/>
      <c r="G56" s="4"/>
      <c r="H56" s="4"/>
      <c r="I56" s="4"/>
      <c r="J56" s="80"/>
    </row>
    <row r="57" spans="1:10">
      <c r="A57" s="80"/>
      <c r="G57" s="4"/>
      <c r="H57" s="4"/>
      <c r="I57" s="4"/>
      <c r="J57" s="80"/>
    </row>
    <row r="58" spans="1:10">
      <c r="A58" s="80"/>
      <c r="G58" s="4"/>
      <c r="H58" s="4"/>
      <c r="I58" s="4"/>
      <c r="J58" s="80"/>
    </row>
    <row r="59" spans="1:10">
      <c r="A59" s="80"/>
      <c r="G59" s="4"/>
      <c r="H59" s="4"/>
      <c r="I59" s="4"/>
      <c r="J59" s="80"/>
    </row>
    <row r="60" spans="1:10">
      <c r="A60" s="80"/>
      <c r="G60" s="4"/>
      <c r="H60" s="4"/>
      <c r="I60" s="4"/>
      <c r="J60" s="80"/>
    </row>
    <row r="61" spans="1:10">
      <c r="A61" s="80"/>
      <c r="G61" s="4"/>
      <c r="H61" s="4"/>
      <c r="I61" s="4"/>
      <c r="J61" s="80"/>
    </row>
    <row r="62" spans="1:10">
      <c r="A62" s="80"/>
      <c r="G62" s="4"/>
      <c r="H62" s="4"/>
      <c r="I62" s="4"/>
      <c r="J62" s="80"/>
    </row>
    <row r="63" spans="1:10">
      <c r="A63" s="80"/>
      <c r="G63" s="4"/>
      <c r="H63" s="4"/>
      <c r="I63" s="4"/>
      <c r="J63" s="80"/>
    </row>
    <row r="64" spans="1:10">
      <c r="A64" s="80"/>
      <c r="G64" s="4"/>
      <c r="H64" s="4"/>
      <c r="I64" s="4"/>
      <c r="J64" s="80"/>
    </row>
    <row r="65" spans="1:10">
      <c r="A65" s="80"/>
      <c r="G65" s="4"/>
      <c r="H65" s="4"/>
      <c r="I65" s="4"/>
      <c r="J65" s="80"/>
    </row>
    <row r="66" spans="1:10">
      <c r="A66" s="80"/>
      <c r="G66" s="4"/>
      <c r="H66" s="4"/>
      <c r="I66" s="4"/>
      <c r="J66" s="80"/>
    </row>
    <row r="67" spans="1:10">
      <c r="A67" s="80"/>
      <c r="G67" s="4"/>
      <c r="H67" s="4"/>
      <c r="I67" s="4"/>
      <c r="J67" s="80"/>
    </row>
    <row r="68" spans="1:10">
      <c r="A68" s="80"/>
      <c r="G68" s="4"/>
      <c r="H68" s="4"/>
      <c r="I68" s="4"/>
      <c r="J68" s="80"/>
    </row>
    <row r="69" spans="1:10">
      <c r="A69" s="80"/>
      <c r="G69" s="4"/>
      <c r="H69" s="4"/>
      <c r="I69" s="4"/>
      <c r="J69" s="80"/>
    </row>
    <row r="70" spans="1:10">
      <c r="A70" s="80"/>
      <c r="G70" s="4"/>
      <c r="H70" s="4"/>
      <c r="I70" s="4"/>
      <c r="J70" s="80"/>
    </row>
    <row r="71" spans="1:10">
      <c r="A71" s="80"/>
      <c r="G71" s="4"/>
      <c r="H71" s="4"/>
      <c r="I71" s="4"/>
      <c r="J71" s="80"/>
    </row>
    <row r="72" spans="1:10">
      <c r="A72" s="80"/>
      <c r="G72" s="4"/>
      <c r="H72" s="4"/>
      <c r="I72" s="4"/>
      <c r="J72" s="80"/>
    </row>
    <row r="73" spans="1:10">
      <c r="A73" s="80"/>
      <c r="G73" s="4"/>
      <c r="H73" s="4"/>
      <c r="I73" s="4"/>
      <c r="J73" s="80"/>
    </row>
    <row r="74" spans="1:10">
      <c r="A74" s="80"/>
      <c r="G74" s="4"/>
      <c r="H74" s="4"/>
      <c r="I74" s="4"/>
      <c r="J74" s="80"/>
    </row>
    <row r="75" spans="1:10">
      <c r="A75" s="80"/>
      <c r="G75" s="4"/>
      <c r="H75" s="4"/>
      <c r="I75" s="4"/>
      <c r="J75" s="80"/>
    </row>
    <row r="76" spans="1:10">
      <c r="A76" s="80"/>
      <c r="G76" s="4"/>
      <c r="H76" s="4"/>
      <c r="I76" s="4"/>
      <c r="J76" s="80"/>
    </row>
    <row r="77" spans="1:10">
      <c r="A77" s="80"/>
      <c r="G77" s="4"/>
      <c r="H77" s="4"/>
      <c r="I77" s="4"/>
      <c r="J77" s="80"/>
    </row>
    <row r="78" spans="1:10">
      <c r="A78" s="80"/>
      <c r="G78" s="4"/>
      <c r="H78" s="4"/>
      <c r="I78" s="4"/>
      <c r="J78" s="80"/>
    </row>
    <row r="79" spans="1:10">
      <c r="A79" s="80"/>
      <c r="G79" s="4"/>
      <c r="H79" s="4"/>
      <c r="I79" s="4"/>
      <c r="J79" s="80"/>
    </row>
    <row r="80" spans="1:10">
      <c r="A80" s="80"/>
      <c r="G80" s="4"/>
      <c r="H80" s="4"/>
      <c r="I80" s="4"/>
      <c r="J80" s="80"/>
    </row>
    <row r="81" spans="1:10">
      <c r="A81" s="80"/>
      <c r="G81" s="4"/>
      <c r="H81" s="4"/>
      <c r="I81" s="4"/>
      <c r="J81" s="80"/>
    </row>
    <row r="82" spans="1:10">
      <c r="A82" s="80"/>
      <c r="G82" s="4"/>
      <c r="H82" s="4"/>
      <c r="I82" s="4"/>
      <c r="J82" s="80"/>
    </row>
    <row r="83" spans="1:10">
      <c r="A83" s="80"/>
      <c r="G83" s="4"/>
      <c r="H83" s="4"/>
      <c r="I83" s="4"/>
      <c r="J83" s="80"/>
    </row>
    <row r="84" spans="1:10">
      <c r="A84" s="80"/>
      <c r="G84" s="4"/>
      <c r="H84" s="4"/>
      <c r="I84" s="4"/>
      <c r="J84" s="80"/>
    </row>
    <row r="85" spans="1:10">
      <c r="A85" s="80"/>
      <c r="G85" s="4"/>
      <c r="H85" s="4"/>
      <c r="I85" s="4"/>
      <c r="J85" s="80"/>
    </row>
    <row r="86" spans="1:10">
      <c r="A86" s="80"/>
      <c r="G86" s="4"/>
      <c r="H86" s="4"/>
      <c r="I86" s="4"/>
      <c r="J86" s="80"/>
    </row>
    <row r="87" spans="1:10">
      <c r="A87" s="80"/>
      <c r="G87" s="4"/>
      <c r="H87" s="4"/>
      <c r="I87" s="4"/>
      <c r="J87" s="80"/>
    </row>
    <row r="88" spans="1:10">
      <c r="A88" s="80"/>
      <c r="G88" s="4"/>
      <c r="H88" s="4"/>
      <c r="I88" s="4"/>
      <c r="J88" s="80"/>
    </row>
    <row r="89" spans="1:10">
      <c r="A89" s="80"/>
      <c r="G89" s="4"/>
      <c r="H89" s="4"/>
      <c r="I89" s="4"/>
      <c r="J89" s="80"/>
    </row>
    <row r="90" spans="1:10">
      <c r="A90" s="80"/>
      <c r="G90" s="4"/>
      <c r="H90" s="4"/>
      <c r="I90" s="4"/>
      <c r="J90" s="80"/>
    </row>
    <row r="91" spans="1:10">
      <c r="A91" s="80"/>
      <c r="G91" s="4"/>
      <c r="H91" s="4"/>
      <c r="I91" s="4"/>
      <c r="J91" s="80"/>
    </row>
    <row r="92" spans="1:10">
      <c r="A92" s="80"/>
      <c r="G92" s="4"/>
      <c r="H92" s="4"/>
      <c r="I92" s="4"/>
      <c r="J92" s="80"/>
    </row>
    <row r="93" spans="1:10">
      <c r="A93" s="80"/>
      <c r="G93" s="4"/>
      <c r="H93" s="4"/>
      <c r="I93" s="4"/>
      <c r="J93" s="80"/>
    </row>
    <row r="94" spans="1:10">
      <c r="A94" s="80"/>
      <c r="G94" s="4"/>
      <c r="H94" s="4"/>
      <c r="I94" s="4"/>
      <c r="J94" s="80"/>
    </row>
    <row r="95" spans="1:10">
      <c r="A95" s="80"/>
      <c r="G95" s="4"/>
      <c r="H95" s="4"/>
      <c r="I95" s="4"/>
      <c r="J95" s="80"/>
    </row>
    <row r="96" spans="1:10">
      <c r="A96" s="80"/>
      <c r="G96" s="4"/>
      <c r="H96" s="4"/>
      <c r="I96" s="4"/>
      <c r="J96" s="80"/>
    </row>
    <row r="97" spans="1:10">
      <c r="A97" s="80"/>
      <c r="G97" s="4"/>
      <c r="H97" s="4"/>
      <c r="I97" s="4"/>
      <c r="J97" s="80"/>
    </row>
    <row r="98" spans="1:10">
      <c r="A98" s="80"/>
      <c r="G98" s="4"/>
      <c r="H98" s="4"/>
      <c r="I98" s="4"/>
      <c r="J98" s="80"/>
    </row>
    <row r="99" spans="1:10">
      <c r="A99" s="80"/>
      <c r="G99" s="4"/>
      <c r="H99" s="4"/>
      <c r="I99" s="4"/>
      <c r="J99" s="80"/>
    </row>
    <row r="100" spans="1:10">
      <c r="A100" s="80"/>
      <c r="B100" s="80"/>
      <c r="C100" s="80"/>
      <c r="D100" s="80"/>
      <c r="E100" s="80"/>
      <c r="F100" s="80"/>
      <c r="G100" s="80"/>
      <c r="H100" s="80"/>
      <c r="I100" s="80"/>
      <c r="J100" s="80"/>
    </row>
  </sheetData>
  <mergeCells count="5">
    <mergeCell ref="B2:C2"/>
    <mergeCell ref="D3:F3"/>
    <mergeCell ref="G3:I3"/>
    <mergeCell ref="B4:C4"/>
    <mergeCell ref="B3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F83B5-B389-4990-9AD9-22A59E94975A}">
  <dimension ref="A1:L173"/>
  <sheetViews>
    <sheetView topLeftCell="A7" workbookViewId="0">
      <selection activeCell="H93" sqref="H93"/>
    </sheetView>
  </sheetViews>
  <sheetFormatPr defaultColWidth="0" defaultRowHeight="14.4"/>
  <cols>
    <col min="1" max="2" width="3.77734375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144</v>
      </c>
      <c r="C3" s="267"/>
      <c r="D3" s="77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H6" s="4"/>
      <c r="I6" s="4"/>
      <c r="J6" s="4"/>
      <c r="K6" s="80"/>
    </row>
    <row r="7" spans="1:11">
      <c r="A7" s="80"/>
      <c r="C7" s="13" t="s">
        <v>135</v>
      </c>
      <c r="H7" s="4"/>
      <c r="I7" s="4"/>
      <c r="J7" s="4"/>
      <c r="K7" s="80"/>
    </row>
    <row r="8" spans="1:11">
      <c r="A8" s="80"/>
      <c r="C8" s="13" t="s">
        <v>145</v>
      </c>
      <c r="D8" s="83"/>
      <c r="E8" s="83">
        <f t="shared" ref="E8:J8" si="1">D11</f>
        <v>80261</v>
      </c>
      <c r="F8" s="19">
        <f t="shared" si="1"/>
        <v>88185</v>
      </c>
      <c r="G8" s="19">
        <f t="shared" si="1"/>
        <v>99858</v>
      </c>
      <c r="H8" s="33">
        <f t="shared" si="1"/>
        <v>132543</v>
      </c>
      <c r="I8" s="33">
        <f t="shared" si="1"/>
        <v>170443.44209597976</v>
      </c>
      <c r="J8" s="33">
        <f t="shared" si="1"/>
        <v>209963.22064792147</v>
      </c>
      <c r="K8" s="80"/>
    </row>
    <row r="9" spans="1:11">
      <c r="A9" s="80"/>
      <c r="C9" s="13" t="s">
        <v>146</v>
      </c>
      <c r="D9" s="83"/>
      <c r="E9" s="83">
        <f t="shared" ref="E9:G9" si="2">IF((E11-E8)&gt;0,E11-E8,0)</f>
        <v>7924</v>
      </c>
      <c r="F9" s="19">
        <f t="shared" si="2"/>
        <v>11673</v>
      </c>
      <c r="G9" s="19">
        <f t="shared" si="2"/>
        <v>32685</v>
      </c>
      <c r="H9" s="33">
        <f>H13*'Income Statement'!G$7</f>
        <v>37900.442095979764</v>
      </c>
      <c r="I9" s="33">
        <f>I13*'Income Statement'!H$7</f>
        <v>39519.778551941701</v>
      </c>
      <c r="J9" s="33">
        <f>J13*'Income Statement'!I$7</f>
        <v>41229.821433910249</v>
      </c>
      <c r="K9" s="80"/>
    </row>
    <row r="10" spans="1:11">
      <c r="A10" s="80"/>
      <c r="C10" s="13" t="s">
        <v>147</v>
      </c>
      <c r="D10" s="83"/>
      <c r="E10" s="83">
        <f t="shared" ref="E10:G10" si="3">IF((E11-E8)&lt;0,E11-E8,0)</f>
        <v>0</v>
      </c>
      <c r="F10" s="19">
        <f t="shared" si="3"/>
        <v>0</v>
      </c>
      <c r="G10" s="19">
        <f t="shared" si="3"/>
        <v>0</v>
      </c>
      <c r="H10" s="4"/>
      <c r="I10" s="4"/>
      <c r="J10" s="4"/>
      <c r="K10" s="80"/>
    </row>
    <row r="11" spans="1:11">
      <c r="A11" s="80"/>
      <c r="C11" s="18" t="s">
        <v>148</v>
      </c>
      <c r="D11" s="87">
        <v>80261</v>
      </c>
      <c r="E11" s="87">
        <v>88185</v>
      </c>
      <c r="F11" s="39">
        <v>99858</v>
      </c>
      <c r="G11" s="39">
        <v>132543</v>
      </c>
      <c r="H11" s="53">
        <f t="shared" ref="H11:J11" si="4">SUM(H8:H10)</f>
        <v>170443.44209597976</v>
      </c>
      <c r="I11" s="53">
        <f t="shared" si="4"/>
        <v>209963.22064792147</v>
      </c>
      <c r="J11" s="53">
        <f t="shared" si="4"/>
        <v>251193.04208183172</v>
      </c>
      <c r="K11" s="80"/>
    </row>
    <row r="12" spans="1:11">
      <c r="A12" s="80"/>
      <c r="C12" s="13"/>
      <c r="D12" s="83"/>
      <c r="E12" s="83"/>
      <c r="F12" s="19"/>
      <c r="G12" s="19"/>
      <c r="H12" s="4"/>
      <c r="I12" s="4"/>
      <c r="J12" s="4"/>
      <c r="K12" s="80"/>
    </row>
    <row r="13" spans="1:11">
      <c r="A13" s="80"/>
      <c r="C13" s="89" t="s">
        <v>149</v>
      </c>
      <c r="D13" s="90"/>
      <c r="E13" s="91">
        <f>E9/'Income Statement'!$D$7</f>
        <v>1.2778672711325043E-3</v>
      </c>
      <c r="F13" s="92">
        <f>F9/'Income Statement'!$D$7</f>
        <v>1.8824513700062748E-3</v>
      </c>
      <c r="G13" s="92">
        <f>G9/'Income Statement'!$D$7</f>
        <v>5.270960595275858E-3</v>
      </c>
      <c r="H13" s="93">
        <f t="shared" ref="H13:J13" si="5">G13</f>
        <v>5.270960595275858E-3</v>
      </c>
      <c r="I13" s="93">
        <f t="shared" si="5"/>
        <v>5.270960595275858E-3</v>
      </c>
      <c r="J13" s="93">
        <f t="shared" si="5"/>
        <v>5.270960595275858E-3</v>
      </c>
      <c r="K13" s="80"/>
    </row>
    <row r="14" spans="1:11">
      <c r="A14" s="80"/>
      <c r="C14" s="13"/>
      <c r="D14" s="83"/>
      <c r="E14" s="83"/>
      <c r="F14" s="19"/>
      <c r="G14" s="19"/>
      <c r="H14" s="4"/>
      <c r="I14" s="4"/>
      <c r="J14" s="4"/>
      <c r="K14" s="80"/>
    </row>
    <row r="15" spans="1:11">
      <c r="A15" s="80"/>
      <c r="C15" s="13" t="s">
        <v>136</v>
      </c>
      <c r="H15" s="4"/>
      <c r="I15" s="4"/>
      <c r="J15" s="4"/>
      <c r="K15" s="80"/>
    </row>
    <row r="16" spans="1:11">
      <c r="A16" s="80"/>
      <c r="C16" s="13" t="s">
        <v>145</v>
      </c>
      <c r="D16" s="83"/>
      <c r="E16" s="83">
        <f t="shared" ref="E16:J16" si="6">D19</f>
        <v>265070</v>
      </c>
      <c r="F16" s="19">
        <f t="shared" si="6"/>
        <v>352114</v>
      </c>
      <c r="G16" s="19">
        <f t="shared" si="6"/>
        <v>390852</v>
      </c>
      <c r="H16" s="33">
        <f t="shared" si="6"/>
        <v>493810</v>
      </c>
      <c r="I16" s="33">
        <f t="shared" si="6"/>
        <v>613196.6824940457</v>
      </c>
      <c r="J16" s="33">
        <f t="shared" si="6"/>
        <v>737684.28721030126</v>
      </c>
      <c r="K16" s="80"/>
    </row>
    <row r="17" spans="1:11">
      <c r="A17" s="80"/>
      <c r="C17" s="13" t="s">
        <v>146</v>
      </c>
      <c r="D17" s="83"/>
      <c r="E17" s="83">
        <f t="shared" ref="E17" si="7">IF((E19-E16)&gt;0,E19-E16,0)</f>
        <v>87044</v>
      </c>
      <c r="F17" s="19">
        <f t="shared" ref="F17" si="8">IF((F19-F16)&gt;0,F19-F16,0)</f>
        <v>38738</v>
      </c>
      <c r="G17" s="19">
        <f t="shared" ref="G17" si="9">IF((G19-G16)&gt;0,G19-G16,0)</f>
        <v>102958</v>
      </c>
      <c r="H17" s="33">
        <f>H21*'Income Statement'!G$7</f>
        <v>119386.68249404573</v>
      </c>
      <c r="I17" s="33">
        <f>I21*'Income Statement'!H$7</f>
        <v>124487.60471625558</v>
      </c>
      <c r="J17" s="33">
        <f>J21*'Income Statement'!I$7</f>
        <v>129874.25287417872</v>
      </c>
      <c r="K17" s="80"/>
    </row>
    <row r="18" spans="1:11">
      <c r="A18" s="80"/>
      <c r="C18" s="13" t="s">
        <v>147</v>
      </c>
      <c r="D18" s="83"/>
      <c r="E18" s="83">
        <f t="shared" ref="E18" si="10">IF((E19-E16)&lt;0,E19-E16,0)</f>
        <v>0</v>
      </c>
      <c r="F18" s="19">
        <f t="shared" ref="F18" si="11">IF((F19-F16)&lt;0,F19-F16,0)</f>
        <v>0</v>
      </c>
      <c r="G18" s="19">
        <f t="shared" ref="G18" si="12">IF((G19-G16)&lt;0,G19-G16,0)</f>
        <v>0</v>
      </c>
      <c r="H18" s="4"/>
      <c r="I18" s="4"/>
      <c r="J18" s="4"/>
      <c r="K18" s="80"/>
    </row>
    <row r="19" spans="1:11">
      <c r="A19" s="80"/>
      <c r="C19" s="18" t="s">
        <v>148</v>
      </c>
      <c r="D19" s="85">
        <v>265070</v>
      </c>
      <c r="E19" s="85">
        <v>352114</v>
      </c>
      <c r="F19" s="86">
        <v>390852</v>
      </c>
      <c r="G19" s="86">
        <v>493810</v>
      </c>
      <c r="H19" s="53">
        <f t="shared" ref="H19" si="13">SUM(H16:H18)</f>
        <v>613196.6824940457</v>
      </c>
      <c r="I19" s="53">
        <f t="shared" ref="I19" si="14">SUM(I16:I18)</f>
        <v>737684.28721030126</v>
      </c>
      <c r="J19" s="53">
        <f t="shared" ref="J19" si="15">SUM(J16:J18)</f>
        <v>867558.54008447996</v>
      </c>
      <c r="K19" s="80"/>
    </row>
    <row r="20" spans="1:11">
      <c r="A20" s="80"/>
      <c r="C20" s="13"/>
      <c r="D20" s="83"/>
      <c r="E20" s="83"/>
      <c r="F20" s="19"/>
      <c r="G20" s="19"/>
      <c r="H20" s="4"/>
      <c r="I20" s="4"/>
      <c r="J20" s="4"/>
      <c r="K20" s="80"/>
    </row>
    <row r="21" spans="1:11">
      <c r="A21" s="80"/>
      <c r="C21" s="89" t="s">
        <v>149</v>
      </c>
      <c r="D21" s="90"/>
      <c r="E21" s="91">
        <f>E17/'Income Statement'!$D$7</f>
        <v>1.4037188130799811E-2</v>
      </c>
      <c r="F21" s="92">
        <f>F17/'Income Statement'!$D$7</f>
        <v>6.2471002459781608E-3</v>
      </c>
      <c r="G21" s="92">
        <f>G17/'Income Statement'!$D$7</f>
        <v>1.6603566191476574E-2</v>
      </c>
      <c r="H21" s="93">
        <f t="shared" ref="H21:J21" si="16">G21</f>
        <v>1.6603566191476574E-2</v>
      </c>
      <c r="I21" s="93">
        <f t="shared" si="16"/>
        <v>1.6603566191476574E-2</v>
      </c>
      <c r="J21" s="93">
        <f t="shared" si="16"/>
        <v>1.6603566191476574E-2</v>
      </c>
      <c r="K21" s="80"/>
    </row>
    <row r="22" spans="1:11">
      <c r="A22" s="80"/>
      <c r="C22" s="13"/>
      <c r="D22" s="83"/>
      <c r="E22" s="83"/>
      <c r="F22" s="19"/>
      <c r="G22" s="19"/>
      <c r="H22" s="4"/>
      <c r="I22" s="4"/>
      <c r="J22" s="4"/>
      <c r="K22" s="80"/>
    </row>
    <row r="23" spans="1:11">
      <c r="A23" s="80"/>
      <c r="C23" s="13" t="s">
        <v>137</v>
      </c>
      <c r="H23" s="4"/>
      <c r="I23" s="4"/>
      <c r="J23" s="4"/>
      <c r="K23" s="80"/>
    </row>
    <row r="24" spans="1:11">
      <c r="A24" s="80"/>
      <c r="C24" s="13" t="s">
        <v>145</v>
      </c>
      <c r="D24" s="83"/>
      <c r="E24" s="83">
        <f t="shared" ref="E24:J24" si="17">D27</f>
        <v>443592</v>
      </c>
      <c r="F24" s="19">
        <f t="shared" si="17"/>
        <v>462640</v>
      </c>
      <c r="G24" s="19">
        <f t="shared" si="17"/>
        <v>498737</v>
      </c>
      <c r="H24" s="33">
        <f t="shared" si="17"/>
        <v>563834</v>
      </c>
      <c r="I24" s="33">
        <f t="shared" si="17"/>
        <v>639318.32244521938</v>
      </c>
      <c r="J24" s="33">
        <f t="shared" si="17"/>
        <v>718027.79236707184</v>
      </c>
      <c r="K24" s="80"/>
    </row>
    <row r="25" spans="1:11">
      <c r="A25" s="80"/>
      <c r="C25" s="13" t="s">
        <v>146</v>
      </c>
      <c r="D25" s="83"/>
      <c r="E25" s="83">
        <f t="shared" ref="E25" si="18">IF((E27-E24)&gt;0,E27-E24,0)</f>
        <v>19048</v>
      </c>
      <c r="F25" s="19">
        <f t="shared" ref="F25" si="19">IF((F27-F24)&gt;0,F27-F24,0)</f>
        <v>36097</v>
      </c>
      <c r="G25" s="19">
        <f t="shared" ref="G25" si="20">IF((G27-G24)&gt;0,G27-G24,0)</f>
        <v>65097</v>
      </c>
      <c r="H25" s="33">
        <f>H29*'Income Statement'!G$7</f>
        <v>75484.322445219354</v>
      </c>
      <c r="I25" s="33">
        <f>I29*'Income Statement'!H$7</f>
        <v>78709.469921852491</v>
      </c>
      <c r="J25" s="33">
        <f>J29*'Income Statement'!I$7</f>
        <v>82115.272629134328</v>
      </c>
      <c r="K25" s="80"/>
    </row>
    <row r="26" spans="1:11">
      <c r="A26" s="80"/>
      <c r="C26" s="13" t="s">
        <v>147</v>
      </c>
      <c r="D26" s="83"/>
      <c r="E26" s="83">
        <f t="shared" ref="E26" si="21">IF((E27-E24)&lt;0,E27-E24,0)</f>
        <v>0</v>
      </c>
      <c r="F26" s="19">
        <f t="shared" ref="F26" si="22">IF((F27-F24)&lt;0,F27-F24,0)</f>
        <v>0</v>
      </c>
      <c r="G26" s="19">
        <f t="shared" ref="G26" si="23">IF((G27-G24)&lt;0,G27-G24,0)</f>
        <v>0</v>
      </c>
      <c r="H26" s="4"/>
      <c r="I26" s="4"/>
      <c r="J26" s="4"/>
      <c r="K26" s="80"/>
    </row>
    <row r="27" spans="1:11">
      <c r="A27" s="80"/>
      <c r="C27" s="18" t="s">
        <v>148</v>
      </c>
      <c r="D27" s="85">
        <v>443592</v>
      </c>
      <c r="E27" s="85">
        <v>462640</v>
      </c>
      <c r="F27" s="86">
        <v>498737</v>
      </c>
      <c r="G27" s="86">
        <v>563834</v>
      </c>
      <c r="H27" s="53">
        <f t="shared" ref="H27" si="24">SUM(H24:H26)</f>
        <v>639318.32244521938</v>
      </c>
      <c r="I27" s="53">
        <f t="shared" ref="I27" si="25">SUM(I24:I26)</f>
        <v>718027.79236707184</v>
      </c>
      <c r="J27" s="53">
        <f t="shared" ref="J27" si="26">SUM(J24:J26)</f>
        <v>800143.0649962062</v>
      </c>
      <c r="K27" s="80"/>
    </row>
    <row r="28" spans="1:11">
      <c r="A28" s="80"/>
      <c r="C28" s="13"/>
      <c r="D28" s="83"/>
      <c r="E28" s="83"/>
      <c r="F28" s="19"/>
      <c r="G28" s="19"/>
      <c r="H28" s="4"/>
      <c r="I28" s="4"/>
      <c r="J28" s="4"/>
      <c r="K28" s="80"/>
    </row>
    <row r="29" spans="1:11">
      <c r="A29" s="80"/>
      <c r="C29" s="89" t="s">
        <v>149</v>
      </c>
      <c r="D29" s="90"/>
      <c r="E29" s="91">
        <f>E25/'Income Statement'!$D$7</f>
        <v>3.0717839198046368E-3</v>
      </c>
      <c r="F29" s="92">
        <f>F25/'Income Statement'!$D$7</f>
        <v>5.821198244077487E-3</v>
      </c>
      <c r="G29" s="92">
        <f>G25/'Income Statement'!$D$7</f>
        <v>1.0497895728030367E-2</v>
      </c>
      <c r="H29" s="93">
        <f t="shared" ref="H29:J29" si="27">G29</f>
        <v>1.0497895728030367E-2</v>
      </c>
      <c r="I29" s="93">
        <f t="shared" si="27"/>
        <v>1.0497895728030367E-2</v>
      </c>
      <c r="J29" s="93">
        <f t="shared" si="27"/>
        <v>1.0497895728030367E-2</v>
      </c>
      <c r="K29" s="80"/>
    </row>
    <row r="30" spans="1:11">
      <c r="A30" s="80"/>
      <c r="C30" s="13"/>
      <c r="D30" s="83"/>
      <c r="E30" s="83"/>
      <c r="F30" s="19"/>
      <c r="G30" s="19"/>
      <c r="H30" s="4"/>
      <c r="I30" s="4"/>
      <c r="J30" s="4"/>
      <c r="K30" s="80"/>
    </row>
    <row r="31" spans="1:11">
      <c r="A31" s="80"/>
      <c r="C31" s="13" t="s">
        <v>138</v>
      </c>
      <c r="H31" s="4"/>
      <c r="I31" s="4"/>
      <c r="J31" s="4"/>
      <c r="K31" s="80"/>
    </row>
    <row r="32" spans="1:11">
      <c r="A32" s="80"/>
      <c r="C32" s="13" t="s">
        <v>145</v>
      </c>
      <c r="D32" s="83"/>
      <c r="E32" s="83">
        <f t="shared" ref="E32:J32" si="28">D35</f>
        <v>466238</v>
      </c>
      <c r="F32" s="19">
        <f t="shared" si="28"/>
        <v>515752</v>
      </c>
      <c r="G32" s="19">
        <f t="shared" si="28"/>
        <v>611001</v>
      </c>
      <c r="H32" s="33">
        <f t="shared" si="28"/>
        <v>682263</v>
      </c>
      <c r="I32" s="33">
        <f t="shared" si="28"/>
        <v>764896.05200072541</v>
      </c>
      <c r="J32" s="33">
        <f t="shared" si="28"/>
        <v>851059.68850580323</v>
      </c>
      <c r="K32" s="80"/>
    </row>
    <row r="33" spans="1:11">
      <c r="A33" s="80"/>
      <c r="C33" s="13" t="s">
        <v>146</v>
      </c>
      <c r="D33" s="83"/>
      <c r="E33" s="83">
        <f t="shared" ref="E33" si="29">IF((E35-E32)&gt;0,E35-E32,0)</f>
        <v>49514</v>
      </c>
      <c r="F33" s="19">
        <f t="shared" ref="F33" si="30">IF((F35-F32)&gt;0,F35-F32,0)</f>
        <v>95249</v>
      </c>
      <c r="G33" s="19">
        <f t="shared" ref="G33" si="31">IF((G35-G32)&gt;0,G35-G32,0)</f>
        <v>71262</v>
      </c>
      <c r="H33" s="33">
        <f>H37*'Income Statement'!G$7</f>
        <v>82633.052000725409</v>
      </c>
      <c r="I33" s="33">
        <f>I37*'Income Statement'!H$7</f>
        <v>86163.636505077855</v>
      </c>
      <c r="J33" s="33">
        <f>J37*'Income Statement'!I$7</f>
        <v>89891.985162102254</v>
      </c>
      <c r="K33" s="80"/>
    </row>
    <row r="34" spans="1:11">
      <c r="A34" s="80"/>
      <c r="C34" s="13" t="s">
        <v>147</v>
      </c>
      <c r="D34" s="83"/>
      <c r="E34" s="83">
        <f t="shared" ref="E34" si="32">IF((E35-E32)&lt;0,E35-E32,0)</f>
        <v>0</v>
      </c>
      <c r="F34" s="19">
        <f t="shared" ref="F34" si="33">IF((F35-F32)&lt;0,F35-F32,0)</f>
        <v>0</v>
      </c>
      <c r="G34" s="19">
        <f t="shared" ref="G34" si="34">IF((G35-G32)&lt;0,G35-G32,0)</f>
        <v>0</v>
      </c>
      <c r="H34" s="4"/>
      <c r="I34" s="4"/>
      <c r="J34" s="4"/>
      <c r="K34" s="80"/>
    </row>
    <row r="35" spans="1:11">
      <c r="A35" s="80"/>
      <c r="C35" s="18" t="s">
        <v>148</v>
      </c>
      <c r="D35" s="85">
        <v>466238</v>
      </c>
      <c r="E35" s="85">
        <v>515752</v>
      </c>
      <c r="F35" s="86">
        <v>611001</v>
      </c>
      <c r="G35" s="86">
        <v>682263</v>
      </c>
      <c r="H35" s="53">
        <f t="shared" ref="H35" si="35">SUM(H32:H34)</f>
        <v>764896.05200072541</v>
      </c>
      <c r="I35" s="53">
        <f t="shared" ref="I35" si="36">SUM(I32:I34)</f>
        <v>851059.68850580323</v>
      </c>
      <c r="J35" s="53">
        <f t="shared" ref="J35" si="37">SUM(J32:J34)</f>
        <v>940951.6736679055</v>
      </c>
      <c r="K35" s="80"/>
    </row>
    <row r="36" spans="1:11">
      <c r="A36" s="80"/>
      <c r="C36" s="13"/>
      <c r="D36" s="83"/>
      <c r="E36" s="83"/>
      <c r="F36" s="19"/>
      <c r="G36" s="19"/>
      <c r="H36" s="4"/>
      <c r="I36" s="4"/>
      <c r="J36" s="4"/>
      <c r="K36" s="80"/>
    </row>
    <row r="37" spans="1:11">
      <c r="A37" s="80"/>
      <c r="C37" s="89" t="s">
        <v>149</v>
      </c>
      <c r="D37" s="90"/>
      <c r="E37" s="91">
        <f>E33/'Income Statement'!$D$7</f>
        <v>7.9848965248428584E-3</v>
      </c>
      <c r="F37" s="92">
        <f>F33/'Income Statement'!$D$7</f>
        <v>1.5360370987897514E-2</v>
      </c>
      <c r="G37" s="92">
        <f>G33/'Income Statement'!$D$7</f>
        <v>1.1492097106946557E-2</v>
      </c>
      <c r="H37" s="93">
        <f t="shared" ref="H37:J37" si="38">G37</f>
        <v>1.1492097106946557E-2</v>
      </c>
      <c r="I37" s="93">
        <f t="shared" si="38"/>
        <v>1.1492097106946557E-2</v>
      </c>
      <c r="J37" s="93">
        <f t="shared" si="38"/>
        <v>1.1492097106946557E-2</v>
      </c>
      <c r="K37" s="80"/>
    </row>
    <row r="38" spans="1:11">
      <c r="A38" s="80"/>
      <c r="C38" s="13"/>
      <c r="D38" s="83"/>
      <c r="E38" s="83"/>
      <c r="F38" s="19"/>
      <c r="G38" s="19"/>
      <c r="H38" s="4"/>
      <c r="I38" s="4"/>
      <c r="J38" s="4"/>
      <c r="K38" s="80"/>
    </row>
    <row r="39" spans="1:11">
      <c r="A39" s="80"/>
      <c r="C39" s="13" t="s">
        <v>139</v>
      </c>
      <c r="H39" s="4"/>
      <c r="I39" s="4"/>
      <c r="J39" s="4"/>
      <c r="K39" s="80"/>
    </row>
    <row r="40" spans="1:11">
      <c r="A40" s="80"/>
      <c r="C40" s="13" t="s">
        <v>145</v>
      </c>
      <c r="D40" s="83"/>
      <c r="E40" s="83">
        <f t="shared" ref="E40:J40" si="39">D43</f>
        <v>95062</v>
      </c>
      <c r="F40" s="19">
        <f t="shared" si="39"/>
        <v>102099</v>
      </c>
      <c r="G40" s="19">
        <f t="shared" si="39"/>
        <v>107072</v>
      </c>
      <c r="H40" s="33">
        <f t="shared" si="39"/>
        <v>113156</v>
      </c>
      <c r="I40" s="33">
        <f t="shared" si="39"/>
        <v>120210.80464163808</v>
      </c>
      <c r="J40" s="33">
        <f t="shared" si="39"/>
        <v>127567.03326975537</v>
      </c>
      <c r="K40" s="80"/>
    </row>
    <row r="41" spans="1:11">
      <c r="A41" s="80"/>
      <c r="C41" s="13" t="s">
        <v>146</v>
      </c>
      <c r="D41" s="83"/>
      <c r="E41" s="83">
        <f t="shared" ref="E41" si="40">IF((E43-E40)&gt;0,E43-E40,0)</f>
        <v>7037</v>
      </c>
      <c r="F41" s="19">
        <f t="shared" ref="F41" si="41">IF((F43-F40)&gt;0,F43-F40,0)</f>
        <v>4973</v>
      </c>
      <c r="G41" s="19">
        <f t="shared" ref="G41" si="42">IF((G43-G40)&gt;0,G43-G40,0)</f>
        <v>6084</v>
      </c>
      <c r="H41" s="33">
        <f>H45*'Income Statement'!G$7</f>
        <v>7054.8046416380867</v>
      </c>
      <c r="I41" s="33">
        <f>I45*'Income Statement'!H$7</f>
        <v>7356.2286281172792</v>
      </c>
      <c r="J41" s="33">
        <f>J45*'Income Statement'!I$7</f>
        <v>7674.5367478632379</v>
      </c>
      <c r="K41" s="80"/>
    </row>
    <row r="42" spans="1:11">
      <c r="A42" s="80"/>
      <c r="C42" s="13" t="s">
        <v>147</v>
      </c>
      <c r="D42" s="83"/>
      <c r="E42" s="83">
        <f t="shared" ref="E42" si="43">IF((E43-E40)&lt;0,E43-E40,0)</f>
        <v>0</v>
      </c>
      <c r="F42" s="19">
        <f t="shared" ref="F42" si="44">IF((F43-F40)&lt;0,F43-F40,0)</f>
        <v>0</v>
      </c>
      <c r="G42" s="19">
        <f t="shared" ref="G42" si="45">IF((G43-G40)&lt;0,G43-G40,0)</f>
        <v>0</v>
      </c>
      <c r="H42" s="4"/>
      <c r="I42" s="4"/>
      <c r="J42" s="4"/>
      <c r="K42" s="80"/>
    </row>
    <row r="43" spans="1:11">
      <c r="A43" s="80"/>
      <c r="C43" s="18" t="s">
        <v>148</v>
      </c>
      <c r="D43" s="85">
        <v>95062</v>
      </c>
      <c r="E43" s="85">
        <v>102099</v>
      </c>
      <c r="F43" s="86">
        <v>107072</v>
      </c>
      <c r="G43" s="86">
        <v>113156</v>
      </c>
      <c r="H43" s="53">
        <f t="shared" ref="H43" si="46">SUM(H40:H42)</f>
        <v>120210.80464163808</v>
      </c>
      <c r="I43" s="53">
        <f t="shared" ref="I43" si="47">SUM(I40:I42)</f>
        <v>127567.03326975537</v>
      </c>
      <c r="J43" s="53">
        <f t="shared" ref="J43" si="48">SUM(J40:J42)</f>
        <v>135241.57001761859</v>
      </c>
      <c r="K43" s="80"/>
    </row>
    <row r="44" spans="1:11">
      <c r="A44" s="80"/>
      <c r="C44" s="13"/>
      <c r="D44" s="83"/>
      <c r="E44" s="83"/>
      <c r="F44" s="19"/>
      <c r="G44" s="19"/>
      <c r="H44" s="4"/>
      <c r="I44" s="4"/>
      <c r="J44" s="4"/>
      <c r="K44" s="80"/>
    </row>
    <row r="45" spans="1:11">
      <c r="A45" s="80"/>
      <c r="C45" s="89" t="s">
        <v>149</v>
      </c>
      <c r="D45" s="90"/>
      <c r="E45" s="91">
        <f>E41/'Income Statement'!$D$7</f>
        <v>1.1348248342957386E-3</v>
      </c>
      <c r="F45" s="92">
        <f>F41/'Income Statement'!$D$7</f>
        <v>8.0197298578267833E-4</v>
      </c>
      <c r="G45" s="92">
        <f>G41/'Income Statement'!$D$7</f>
        <v>9.8113887904721793E-4</v>
      </c>
      <c r="H45" s="93">
        <f t="shared" ref="H45:J45" si="49">G45</f>
        <v>9.8113887904721793E-4</v>
      </c>
      <c r="I45" s="93">
        <f t="shared" si="49"/>
        <v>9.8113887904721793E-4</v>
      </c>
      <c r="J45" s="93">
        <f t="shared" si="49"/>
        <v>9.8113887904721793E-4</v>
      </c>
      <c r="K45" s="80"/>
    </row>
    <row r="46" spans="1:11">
      <c r="A46" s="80"/>
      <c r="C46" s="13"/>
      <c r="D46" s="83"/>
      <c r="E46" s="83"/>
      <c r="F46" s="19"/>
      <c r="G46" s="19"/>
      <c r="H46" s="4"/>
      <c r="I46" s="4"/>
      <c r="J46" s="4"/>
      <c r="K46" s="80"/>
    </row>
    <row r="47" spans="1:11">
      <c r="A47" s="80"/>
      <c r="C47" s="13" t="s">
        <v>140</v>
      </c>
      <c r="H47" s="4"/>
      <c r="I47" s="4"/>
      <c r="J47" s="4"/>
      <c r="K47" s="80"/>
    </row>
    <row r="48" spans="1:11">
      <c r="A48" s="80"/>
      <c r="C48" s="13" t="s">
        <v>145</v>
      </c>
      <c r="D48" s="83"/>
      <c r="E48" s="83">
        <f t="shared" ref="E48:J48" si="50">D51</f>
        <v>436954</v>
      </c>
      <c r="F48" s="19">
        <f t="shared" si="50"/>
        <v>438879</v>
      </c>
      <c r="G48" s="19">
        <f t="shared" si="50"/>
        <v>449508</v>
      </c>
      <c r="H48" s="33">
        <f t="shared" si="50"/>
        <v>456984</v>
      </c>
      <c r="I48" s="33">
        <f t="shared" si="50"/>
        <v>465652.92167996161</v>
      </c>
      <c r="J48" s="33">
        <f t="shared" si="50"/>
        <v>474692.23220326944</v>
      </c>
      <c r="K48" s="80"/>
    </row>
    <row r="49" spans="1:11">
      <c r="A49" s="80"/>
      <c r="C49" s="13" t="s">
        <v>146</v>
      </c>
      <c r="D49" s="83"/>
      <c r="E49" s="83">
        <f t="shared" ref="E49" si="51">IF((E51-E48)&gt;0,E51-E48,0)</f>
        <v>1925</v>
      </c>
      <c r="F49" s="19">
        <f t="shared" ref="F49" si="52">IF((F51-F48)&gt;0,F51-F48,0)</f>
        <v>10629</v>
      </c>
      <c r="G49" s="19">
        <f t="shared" ref="G49" si="53">IF((G51-G48)&gt;0,G51-G48,0)</f>
        <v>7476</v>
      </c>
      <c r="H49" s="33">
        <f>H53*'Income Statement'!G$7</f>
        <v>8668.9216799615933</v>
      </c>
      <c r="I49" s="33">
        <f>I53*'Income Statement'!H$7</f>
        <v>9039.3105233078204</v>
      </c>
      <c r="J49" s="33">
        <f>J53*'Income Statement'!I$7</f>
        <v>9430.4465363289892</v>
      </c>
      <c r="K49" s="80"/>
    </row>
    <row r="50" spans="1:11">
      <c r="A50" s="80"/>
      <c r="C50" s="13" t="s">
        <v>147</v>
      </c>
      <c r="D50" s="83"/>
      <c r="E50" s="83">
        <f t="shared" ref="E50" si="54">IF((E51-E48)&lt;0,E51-E48,0)</f>
        <v>0</v>
      </c>
      <c r="F50" s="19">
        <f t="shared" ref="F50" si="55">IF((F51-F48)&lt;0,F51-F48,0)</f>
        <v>0</v>
      </c>
      <c r="G50" s="19">
        <f t="shared" ref="G50" si="56">IF((G51-G48)&lt;0,G51-G48,0)</f>
        <v>0</v>
      </c>
      <c r="H50" s="4"/>
      <c r="I50" s="4"/>
      <c r="J50" s="4"/>
      <c r="K50" s="80"/>
    </row>
    <row r="51" spans="1:11">
      <c r="A51" s="80"/>
      <c r="C51" s="18" t="s">
        <v>148</v>
      </c>
      <c r="D51" s="85">
        <v>436954</v>
      </c>
      <c r="E51" s="85">
        <v>438879</v>
      </c>
      <c r="F51" s="86">
        <v>449508</v>
      </c>
      <c r="G51" s="86">
        <v>456984</v>
      </c>
      <c r="H51" s="53">
        <f t="shared" ref="H51" si="57">SUM(H48:H50)</f>
        <v>465652.92167996161</v>
      </c>
      <c r="I51" s="53">
        <f t="shared" ref="I51" si="58">SUM(I48:I50)</f>
        <v>474692.23220326944</v>
      </c>
      <c r="J51" s="53">
        <f t="shared" ref="J51" si="59">SUM(J48:J50)</f>
        <v>484122.67873959843</v>
      </c>
      <c r="K51" s="80"/>
    </row>
    <row r="52" spans="1:11">
      <c r="A52" s="80"/>
      <c r="C52" s="13"/>
      <c r="D52" s="83"/>
      <c r="E52" s="83"/>
      <c r="F52" s="19"/>
      <c r="G52" s="19"/>
      <c r="H52" s="4"/>
      <c r="I52" s="4"/>
      <c r="J52" s="4"/>
      <c r="K52" s="80"/>
    </row>
    <row r="53" spans="1:11">
      <c r="A53" s="80"/>
      <c r="C53" s="89" t="s">
        <v>149</v>
      </c>
      <c r="D53" s="90"/>
      <c r="E53" s="91">
        <f>E49/'Income Statement'!$D$7</f>
        <v>3.1043595367618259E-4</v>
      </c>
      <c r="F53" s="92">
        <f>F49/'Income Statement'!$D$7</f>
        <v>1.7140902605839712E-3</v>
      </c>
      <c r="G53" s="92">
        <f>G49/'Income Statement'!$D$7</f>
        <v>1.2056203582769562E-3</v>
      </c>
      <c r="H53" s="93">
        <f t="shared" ref="H53:J53" si="60">G53</f>
        <v>1.2056203582769562E-3</v>
      </c>
      <c r="I53" s="93">
        <f t="shared" si="60"/>
        <v>1.2056203582769562E-3</v>
      </c>
      <c r="J53" s="93">
        <f t="shared" si="60"/>
        <v>1.2056203582769562E-3</v>
      </c>
      <c r="K53" s="80"/>
    </row>
    <row r="54" spans="1:11">
      <c r="A54" s="80"/>
      <c r="C54" s="13"/>
      <c r="D54" s="83"/>
      <c r="E54" s="83"/>
      <c r="F54" s="19"/>
      <c r="G54" s="19"/>
      <c r="H54" s="4"/>
      <c r="I54" s="4"/>
      <c r="J54" s="4"/>
      <c r="K54" s="80"/>
    </row>
    <row r="55" spans="1:11">
      <c r="A55" s="80"/>
      <c r="C55" s="13" t="s">
        <v>141</v>
      </c>
      <c r="H55" s="4"/>
      <c r="I55" s="4"/>
      <c r="J55" s="4"/>
      <c r="K55" s="80"/>
    </row>
    <row r="56" spans="1:11">
      <c r="A56" s="80"/>
      <c r="C56" s="13" t="s">
        <v>145</v>
      </c>
      <c r="D56" s="83"/>
      <c r="E56" s="83">
        <f t="shared" ref="E56:J56" si="61">D59</f>
        <v>178809</v>
      </c>
      <c r="F56" s="19">
        <f t="shared" si="61"/>
        <v>177940</v>
      </c>
      <c r="G56" s="19">
        <f t="shared" si="61"/>
        <v>179146</v>
      </c>
      <c r="H56" s="33">
        <f t="shared" si="61"/>
        <v>192282</v>
      </c>
      <c r="I56" s="33">
        <f t="shared" si="61"/>
        <v>207514.06998234021</v>
      </c>
      <c r="J56" s="33">
        <f t="shared" si="61"/>
        <v>223396.94625764404</v>
      </c>
      <c r="K56" s="80"/>
    </row>
    <row r="57" spans="1:11">
      <c r="A57" s="80"/>
      <c r="C57" s="13" t="s">
        <v>146</v>
      </c>
      <c r="D57" s="83"/>
      <c r="E57" s="83">
        <f t="shared" ref="E57" si="62">IF((E59-E56)&gt;0,E59-E56,0)</f>
        <v>0</v>
      </c>
      <c r="F57" s="19">
        <f t="shared" ref="F57" si="63">IF((F59-F56)&gt;0,F59-F56,0)</f>
        <v>1206</v>
      </c>
      <c r="G57" s="19">
        <f t="shared" ref="G57" si="64">IF((G59-G56)&gt;0,G59-G56,0)</f>
        <v>13136</v>
      </c>
      <c r="H57" s="33">
        <f>H61*'Income Statement'!G$7</f>
        <v>15232.069982340221</v>
      </c>
      <c r="I57" s="33">
        <f>I61*'Income Statement'!H$7</f>
        <v>15882.876275303843</v>
      </c>
      <c r="J57" s="33">
        <f>J61*'Income Statement'!I$7</f>
        <v>16570.137199199788</v>
      </c>
      <c r="K57" s="80"/>
    </row>
    <row r="58" spans="1:11">
      <c r="A58" s="80"/>
      <c r="C58" s="13" t="s">
        <v>147</v>
      </c>
      <c r="D58" s="83"/>
      <c r="E58" s="83">
        <f t="shared" ref="E58" si="65">IF((E59-E56)&lt;0,E59-E56,0)</f>
        <v>-869</v>
      </c>
      <c r="F58" s="19">
        <f t="shared" ref="F58" si="66">IF((F59-F56)&lt;0,F59-F56,0)</f>
        <v>0</v>
      </c>
      <c r="G58" s="19">
        <f t="shared" ref="G58" si="67">IF((G59-G56)&lt;0,G59-G56,0)</f>
        <v>0</v>
      </c>
      <c r="H58" s="4"/>
      <c r="I58" s="4"/>
      <c r="J58" s="4"/>
      <c r="K58" s="80"/>
    </row>
    <row r="59" spans="1:11">
      <c r="A59" s="80"/>
      <c r="C59" s="18" t="s">
        <v>148</v>
      </c>
      <c r="D59" s="85">
        <v>178809</v>
      </c>
      <c r="E59" s="85">
        <v>177940</v>
      </c>
      <c r="F59" s="86">
        <v>179146</v>
      </c>
      <c r="G59" s="86">
        <v>192282</v>
      </c>
      <c r="H59" s="53">
        <f t="shared" ref="H59" si="68">SUM(H56:H58)</f>
        <v>207514.06998234021</v>
      </c>
      <c r="I59" s="53">
        <f t="shared" ref="I59" si="69">SUM(I56:I58)</f>
        <v>223396.94625764404</v>
      </c>
      <c r="J59" s="53">
        <f t="shared" ref="J59" si="70">SUM(J56:J58)</f>
        <v>239967.08345684383</v>
      </c>
      <c r="K59" s="80"/>
    </row>
    <row r="60" spans="1:11">
      <c r="A60" s="80"/>
      <c r="C60" s="13"/>
      <c r="D60" s="83"/>
      <c r="E60" s="83"/>
      <c r="F60" s="19"/>
      <c r="G60" s="19"/>
      <c r="H60" s="4"/>
      <c r="I60" s="4"/>
      <c r="J60" s="4"/>
      <c r="K60" s="80"/>
    </row>
    <row r="61" spans="1:11">
      <c r="A61" s="80"/>
      <c r="C61" s="89" t="s">
        <v>149</v>
      </c>
      <c r="D61" s="90"/>
      <c r="E61" s="91">
        <f>E57/'Income Statement'!$D$7</f>
        <v>0</v>
      </c>
      <c r="F61" s="92">
        <f>F57/'Income Statement'!$D$7</f>
        <v>1.9448610916024736E-4</v>
      </c>
      <c r="G61" s="92">
        <f>G57/'Income Statement'!$D$7</f>
        <v>2.1183826948001734E-3</v>
      </c>
      <c r="H61" s="93">
        <f t="shared" ref="H61:J61" si="71">G61</f>
        <v>2.1183826948001734E-3</v>
      </c>
      <c r="I61" s="93">
        <f t="shared" si="71"/>
        <v>2.1183826948001734E-3</v>
      </c>
      <c r="J61" s="93">
        <f t="shared" si="71"/>
        <v>2.1183826948001734E-3</v>
      </c>
      <c r="K61" s="80"/>
    </row>
    <row r="62" spans="1:11">
      <c r="A62" s="80"/>
      <c r="C62" s="13"/>
      <c r="D62" s="83"/>
      <c r="E62" s="83"/>
      <c r="F62" s="19"/>
      <c r="G62" s="19"/>
      <c r="H62" s="4"/>
      <c r="I62" s="4"/>
      <c r="J62" s="4"/>
      <c r="K62" s="80"/>
    </row>
    <row r="63" spans="1:11">
      <c r="A63" s="80"/>
      <c r="C63" s="13" t="s">
        <v>142</v>
      </c>
      <c r="H63" s="4"/>
      <c r="I63" s="4"/>
      <c r="J63" s="4"/>
      <c r="K63" s="80"/>
    </row>
    <row r="64" spans="1:11">
      <c r="A64" s="80"/>
      <c r="C64" s="13" t="s">
        <v>145</v>
      </c>
      <c r="D64" s="83"/>
      <c r="E64" s="83">
        <f t="shared" ref="E64:J64" si="72">D67</f>
        <v>47982</v>
      </c>
      <c r="F64" s="19">
        <f t="shared" si="72"/>
        <v>48581</v>
      </c>
      <c r="G64" s="19">
        <f t="shared" si="72"/>
        <v>49611</v>
      </c>
      <c r="H64" s="33">
        <f t="shared" si="72"/>
        <v>50293</v>
      </c>
      <c r="I64" s="33">
        <f t="shared" si="72"/>
        <v>51083.824583431488</v>
      </c>
      <c r="J64" s="33">
        <f t="shared" si="72"/>
        <v>51908.437983230302</v>
      </c>
      <c r="K64" s="80"/>
    </row>
    <row r="65" spans="1:11">
      <c r="A65" s="80"/>
      <c r="C65" s="13" t="s">
        <v>146</v>
      </c>
      <c r="D65" s="83"/>
      <c r="E65" s="83">
        <f t="shared" ref="E65" si="73">IF((E67-E64)&gt;0,E67-E64,0)</f>
        <v>599</v>
      </c>
      <c r="F65" s="19">
        <f t="shared" ref="F65" si="74">IF((F67-F64)&gt;0,F67-F64,0)</f>
        <v>1030</v>
      </c>
      <c r="G65" s="19">
        <f t="shared" ref="G65" si="75">IF((G67-G64)&gt;0,G67-G64,0)</f>
        <v>682</v>
      </c>
      <c r="H65" s="33">
        <f>H69*'Income Statement'!G$7</f>
        <v>790.82458343148835</v>
      </c>
      <c r="I65" s="33">
        <f>I69*'Income Statement'!H$7</f>
        <v>824.61339979881404</v>
      </c>
      <c r="J65" s="33">
        <f>J69*'Income Statement'!I$7</f>
        <v>860.294881992559</v>
      </c>
      <c r="K65" s="80"/>
    </row>
    <row r="66" spans="1:11">
      <c r="A66" s="80"/>
      <c r="C66" s="13" t="s">
        <v>147</v>
      </c>
      <c r="D66" s="83"/>
      <c r="E66" s="83">
        <f t="shared" ref="E66" si="76">IF((E67-E64)&lt;0,E67-E64,0)</f>
        <v>0</v>
      </c>
      <c r="F66" s="19">
        <f t="shared" ref="F66" si="77">IF((F67-F64)&lt;0,F67-F64,0)</f>
        <v>0</v>
      </c>
      <c r="G66" s="19">
        <f t="shared" ref="G66" si="78">IF((G67-G64)&lt;0,G67-G64,0)</f>
        <v>0</v>
      </c>
      <c r="H66" s="4"/>
      <c r="I66" s="4"/>
      <c r="J66" s="4"/>
      <c r="K66" s="80"/>
    </row>
    <row r="67" spans="1:11">
      <c r="A67" s="80"/>
      <c r="C67" s="18" t="s">
        <v>148</v>
      </c>
      <c r="D67" s="85">
        <v>47982</v>
      </c>
      <c r="E67" s="85">
        <v>48581</v>
      </c>
      <c r="F67" s="86">
        <v>49611</v>
      </c>
      <c r="G67" s="86">
        <v>50293</v>
      </c>
      <c r="H67" s="53">
        <f t="shared" ref="H67" si="79">SUM(H64:H66)</f>
        <v>51083.824583431488</v>
      </c>
      <c r="I67" s="53">
        <f t="shared" ref="I67" si="80">SUM(I64:I66)</f>
        <v>51908.437983230302</v>
      </c>
      <c r="J67" s="53">
        <f t="shared" ref="J67" si="81">SUM(J64:J66)</f>
        <v>52768.732865222861</v>
      </c>
      <c r="K67" s="80"/>
    </row>
    <row r="68" spans="1:11">
      <c r="A68" s="80"/>
      <c r="C68" s="13"/>
      <c r="D68" s="83"/>
      <c r="E68" s="83"/>
      <c r="F68" s="19"/>
      <c r="G68" s="19"/>
      <c r="H68" s="4"/>
      <c r="I68" s="4"/>
      <c r="J68" s="4"/>
      <c r="K68" s="80"/>
    </row>
    <row r="69" spans="1:11">
      <c r="A69" s="80"/>
      <c r="C69" s="89" t="s">
        <v>149</v>
      </c>
      <c r="D69" s="90"/>
      <c r="E69" s="91">
        <f>E65/'Income Statement'!$D$7</f>
        <v>9.6597992858199149E-5</v>
      </c>
      <c r="F69" s="92">
        <f>F65/'Income Statement'!$D$7</f>
        <v>1.6610339339556782E-4</v>
      </c>
      <c r="G69" s="92">
        <f>G65/'Income Statement'!$D$7</f>
        <v>1.0998302358813324E-4</v>
      </c>
      <c r="H69" s="93">
        <f t="shared" ref="H69:J69" si="82">G69</f>
        <v>1.0998302358813324E-4</v>
      </c>
      <c r="I69" s="93">
        <f t="shared" si="82"/>
        <v>1.0998302358813324E-4</v>
      </c>
      <c r="J69" s="93">
        <f t="shared" si="82"/>
        <v>1.0998302358813324E-4</v>
      </c>
      <c r="K69" s="80"/>
    </row>
    <row r="70" spans="1:11">
      <c r="A70" s="80"/>
      <c r="C70" s="13"/>
      <c r="D70" s="83"/>
      <c r="E70" s="83"/>
      <c r="F70" s="19"/>
      <c r="G70" s="19"/>
      <c r="H70" s="4"/>
      <c r="I70" s="4"/>
      <c r="J70" s="4"/>
      <c r="K70" s="80"/>
    </row>
    <row r="71" spans="1:11">
      <c r="A71" s="80"/>
      <c r="C71" s="13" t="s">
        <v>143</v>
      </c>
      <c r="H71" s="4"/>
      <c r="I71" s="4"/>
      <c r="J71" s="4"/>
      <c r="K71" s="80"/>
    </row>
    <row r="72" spans="1:11">
      <c r="A72" s="80"/>
      <c r="C72" s="13" t="s">
        <v>145</v>
      </c>
      <c r="D72" s="83"/>
      <c r="E72" s="83">
        <f t="shared" ref="E72:J72" si="83">D75</f>
        <v>23496</v>
      </c>
      <c r="F72" s="19">
        <f t="shared" si="83"/>
        <v>103803</v>
      </c>
      <c r="G72" s="19">
        <f t="shared" si="83"/>
        <v>95623</v>
      </c>
      <c r="H72" s="33">
        <f t="shared" si="83"/>
        <v>77707</v>
      </c>
      <c r="I72" s="33">
        <f t="shared" si="83"/>
        <v>77707</v>
      </c>
      <c r="J72" s="33">
        <f t="shared" si="83"/>
        <v>77707</v>
      </c>
      <c r="K72" s="80"/>
    </row>
    <row r="73" spans="1:11">
      <c r="A73" s="80"/>
      <c r="C73" s="13" t="s">
        <v>146</v>
      </c>
      <c r="D73" s="83"/>
      <c r="E73" s="83">
        <f t="shared" ref="E73" si="84">IF((E75-E72)&gt;0,E75-E72,0)</f>
        <v>80307</v>
      </c>
      <c r="F73" s="19">
        <f t="shared" ref="F73" si="85">IF((F75-F72)&gt;0,F75-F72,0)</f>
        <v>0</v>
      </c>
      <c r="G73" s="19">
        <f t="shared" ref="G73" si="86">IF((G75-G72)&gt;0,G75-G72,0)</f>
        <v>0</v>
      </c>
      <c r="H73" s="33">
        <f>H77*'Income Statement'!G$7</f>
        <v>0</v>
      </c>
      <c r="I73" s="33">
        <f>I77*'Income Statement'!H$7</f>
        <v>0</v>
      </c>
      <c r="J73" s="33">
        <f>J77*'Income Statement'!I$7</f>
        <v>0</v>
      </c>
      <c r="K73" s="80"/>
    </row>
    <row r="74" spans="1:11">
      <c r="A74" s="80"/>
      <c r="C74" s="13" t="s">
        <v>147</v>
      </c>
      <c r="D74" s="83"/>
      <c r="E74" s="83">
        <f t="shared" ref="E74" si="87">IF((E75-E72)&lt;0,E75-E72,0)</f>
        <v>0</v>
      </c>
      <c r="F74" s="19">
        <f t="shared" ref="F74" si="88">IF((F75-F72)&lt;0,F75-F72,0)</f>
        <v>-8180</v>
      </c>
      <c r="G74" s="19">
        <f t="shared" ref="G74" si="89">IF((G75-G72)&lt;0,G75-G72,0)</f>
        <v>-17916</v>
      </c>
      <c r="H74" s="4"/>
      <c r="I74" s="4"/>
      <c r="J74" s="4"/>
      <c r="K74" s="80"/>
    </row>
    <row r="75" spans="1:11">
      <c r="A75" s="80"/>
      <c r="C75" s="18" t="s">
        <v>148</v>
      </c>
      <c r="D75" s="85">
        <v>23496</v>
      </c>
      <c r="E75" s="85">
        <v>103803</v>
      </c>
      <c r="F75" s="86">
        <v>95623</v>
      </c>
      <c r="G75" s="86">
        <v>77707</v>
      </c>
      <c r="H75" s="53">
        <f t="shared" ref="H75" si="90">SUM(H72:H74)</f>
        <v>77707</v>
      </c>
      <c r="I75" s="53">
        <f t="shared" ref="I75" si="91">SUM(I72:I74)</f>
        <v>77707</v>
      </c>
      <c r="J75" s="53">
        <f t="shared" ref="J75" si="92">SUM(J72:J74)</f>
        <v>77707</v>
      </c>
      <c r="K75" s="80"/>
    </row>
    <row r="76" spans="1:11">
      <c r="A76" s="80"/>
      <c r="C76" s="13"/>
      <c r="D76" s="83"/>
      <c r="E76" s="83"/>
      <c r="F76" s="19"/>
      <c r="G76" s="19"/>
      <c r="H76" s="4"/>
      <c r="I76" s="4"/>
      <c r="J76" s="4"/>
      <c r="K76" s="80"/>
    </row>
    <row r="77" spans="1:11">
      <c r="A77" s="80"/>
      <c r="C77" s="89" t="s">
        <v>149</v>
      </c>
      <c r="D77" s="90"/>
      <c r="E77" s="91">
        <f>E73/'Income Statement'!$D$7</f>
        <v>1.2950742925648412E-2</v>
      </c>
      <c r="F77" s="92">
        <f>F73/'Income Statement'!$D$7</f>
        <v>0</v>
      </c>
      <c r="G77" s="92">
        <f>G73/'Income Statement'!$D$7</f>
        <v>0</v>
      </c>
      <c r="H77" s="93">
        <f t="shared" ref="H77:J77" si="93">G77</f>
        <v>0</v>
      </c>
      <c r="I77" s="93">
        <f t="shared" si="93"/>
        <v>0</v>
      </c>
      <c r="J77" s="93">
        <f t="shared" si="93"/>
        <v>0</v>
      </c>
      <c r="K77" s="80"/>
    </row>
    <row r="78" spans="1:11">
      <c r="A78" s="80"/>
      <c r="C78" s="13"/>
      <c r="D78" s="83"/>
      <c r="E78" s="83"/>
      <c r="F78" s="19"/>
      <c r="G78" s="19"/>
      <c r="H78" s="4"/>
      <c r="I78" s="4"/>
      <c r="J78" s="4"/>
      <c r="K78" s="80"/>
    </row>
    <row r="79" spans="1:11">
      <c r="A79" s="80"/>
      <c r="C79" s="18" t="s">
        <v>157</v>
      </c>
      <c r="D79" s="85">
        <v>2037464</v>
      </c>
      <c r="E79" s="85">
        <v>2289993</v>
      </c>
      <c r="F79" s="86">
        <v>2481408</v>
      </c>
      <c r="G79" s="86">
        <v>2762872</v>
      </c>
      <c r="H79" s="53">
        <f t="shared" ref="H79:J79" si="94">SUM(H11,H19,H27,H35,H43,H51,H59,H67,H75)</f>
        <v>3110023.1199233416</v>
      </c>
      <c r="I79" s="53">
        <f t="shared" si="94"/>
        <v>3472006.6384449969</v>
      </c>
      <c r="J79" s="53">
        <f t="shared" si="94"/>
        <v>3849653.3859097068</v>
      </c>
      <c r="K79" s="80"/>
    </row>
    <row r="80" spans="1:11">
      <c r="A80" s="80"/>
      <c r="B80" s="43" t="s">
        <v>159</v>
      </c>
      <c r="C80" s="97" t="s">
        <v>150</v>
      </c>
      <c r="D80" s="98"/>
      <c r="E80" s="99">
        <f t="shared" ref="E80:J80" si="95">SUM(E9,E17,E25,E33,E41,E49,E57,E65,E73)</f>
        <v>253398</v>
      </c>
      <c r="F80" s="100">
        <f t="shared" si="95"/>
        <v>199595</v>
      </c>
      <c r="G80" s="100">
        <f t="shared" si="95"/>
        <v>299380</v>
      </c>
      <c r="H80" s="47">
        <f t="shared" si="95"/>
        <v>347151.11992334161</v>
      </c>
      <c r="I80" s="47">
        <f t="shared" si="95"/>
        <v>361983.51852165535</v>
      </c>
      <c r="J80" s="47">
        <f t="shared" si="95"/>
        <v>377646.74746471009</v>
      </c>
      <c r="K80" s="80"/>
    </row>
    <row r="81" spans="1:11">
      <c r="A81" s="80"/>
      <c r="C81" s="13" t="s">
        <v>151</v>
      </c>
      <c r="D81" s="85"/>
      <c r="E81" s="84">
        <f t="shared" ref="E81:J81" si="96">SUM(E10,E18,E26,E34,E42,E50,E66,E74,)</f>
        <v>0</v>
      </c>
      <c r="F81" s="16">
        <f t="shared" si="96"/>
        <v>-8180</v>
      </c>
      <c r="G81" s="16">
        <f t="shared" si="96"/>
        <v>-17916</v>
      </c>
      <c r="H81" s="33">
        <f t="shared" si="96"/>
        <v>0</v>
      </c>
      <c r="I81" s="33">
        <f t="shared" si="96"/>
        <v>0</v>
      </c>
      <c r="J81" s="33">
        <f t="shared" si="96"/>
        <v>0</v>
      </c>
      <c r="K81" s="80"/>
    </row>
    <row r="82" spans="1:11">
      <c r="A82" s="80"/>
      <c r="C82" s="18" t="s">
        <v>148</v>
      </c>
      <c r="D82" s="85"/>
      <c r="E82" s="85">
        <f t="shared" ref="E82:J82" si="97">SUM(E80:E81)</f>
        <v>253398</v>
      </c>
      <c r="F82" s="86">
        <f t="shared" si="97"/>
        <v>191415</v>
      </c>
      <c r="G82" s="86">
        <f t="shared" si="97"/>
        <v>281464</v>
      </c>
      <c r="H82" s="53">
        <f t="shared" si="97"/>
        <v>347151.11992334161</v>
      </c>
      <c r="I82" s="53">
        <f t="shared" si="97"/>
        <v>361983.51852165535</v>
      </c>
      <c r="J82" s="53">
        <f t="shared" si="97"/>
        <v>377646.74746471009</v>
      </c>
      <c r="K82" s="80"/>
    </row>
    <row r="83" spans="1:11">
      <c r="A83" s="80"/>
      <c r="C83" s="13"/>
      <c r="D83" s="85"/>
      <c r="E83" s="85"/>
      <c r="F83" s="86"/>
      <c r="G83" s="86"/>
      <c r="H83" s="4"/>
      <c r="I83" s="4"/>
      <c r="J83" s="4"/>
      <c r="K83" s="80"/>
    </row>
    <row r="84" spans="1:11">
      <c r="A84" s="80"/>
      <c r="C84" s="13" t="s">
        <v>155</v>
      </c>
      <c r="H84" s="4"/>
      <c r="I84" s="4"/>
      <c r="J84" s="4"/>
      <c r="K84" s="80"/>
    </row>
    <row r="85" spans="1:11">
      <c r="A85" s="80"/>
      <c r="C85" s="13" t="s">
        <v>152</v>
      </c>
      <c r="D85" s="84"/>
      <c r="E85" s="84">
        <f t="shared" ref="E85:J85" si="98">D87</f>
        <v>1006776</v>
      </c>
      <c r="F85" s="16">
        <f t="shared" si="98"/>
        <v>1106263</v>
      </c>
      <c r="G85" s="16">
        <f t="shared" si="98"/>
        <v>1160845</v>
      </c>
      <c r="H85" s="33">
        <f t="shared" si="98"/>
        <v>1257605</v>
      </c>
      <c r="I85" s="33">
        <f t="shared" si="98"/>
        <v>1368250.854381162</v>
      </c>
      <c r="J85" s="33">
        <f t="shared" si="98"/>
        <v>1493909.2322784192</v>
      </c>
      <c r="K85" s="80"/>
    </row>
    <row r="86" spans="1:11">
      <c r="A86" s="80"/>
      <c r="B86" s="43" t="s">
        <v>159</v>
      </c>
      <c r="C86" s="97" t="s">
        <v>153</v>
      </c>
      <c r="D86" s="99"/>
      <c r="E86" s="99">
        <f t="shared" ref="E86:G86" si="99">E87-E85</f>
        <v>99487</v>
      </c>
      <c r="F86" s="100">
        <f t="shared" si="99"/>
        <v>54582</v>
      </c>
      <c r="G86" s="100">
        <f t="shared" si="99"/>
        <v>96760</v>
      </c>
      <c r="H86" s="47">
        <f t="shared" ref="H86:J86" si="100">H89*(G91+H80)</f>
        <v>110645.85438116189</v>
      </c>
      <c r="I86" s="47">
        <f t="shared" si="100"/>
        <v>125658.37789725728</v>
      </c>
      <c r="J86" s="47">
        <f t="shared" si="100"/>
        <v>140709.76837170406</v>
      </c>
      <c r="K86" s="80"/>
    </row>
    <row r="87" spans="1:11">
      <c r="A87" s="80"/>
      <c r="C87" s="18" t="s">
        <v>154</v>
      </c>
      <c r="D87" s="85">
        <v>1006776</v>
      </c>
      <c r="E87" s="85">
        <v>1106263</v>
      </c>
      <c r="F87" s="86">
        <v>1160845</v>
      </c>
      <c r="G87" s="86">
        <v>1257605</v>
      </c>
      <c r="H87" s="53">
        <f t="shared" ref="H87:J87" si="101">SUM(H85:H86)</f>
        <v>1368250.854381162</v>
      </c>
      <c r="I87" s="53">
        <f t="shared" si="101"/>
        <v>1493909.2322784192</v>
      </c>
      <c r="J87" s="53">
        <f t="shared" si="101"/>
        <v>1634619.0006501232</v>
      </c>
      <c r="K87" s="80"/>
    </row>
    <row r="88" spans="1:11">
      <c r="A88" s="80"/>
      <c r="C88" s="13"/>
      <c r="D88" s="84"/>
      <c r="E88" s="84"/>
      <c r="F88" s="16"/>
      <c r="G88" s="16"/>
      <c r="H88" s="4"/>
      <c r="I88" s="4"/>
      <c r="J88" s="4"/>
      <c r="K88" s="80"/>
    </row>
    <row r="89" spans="1:11">
      <c r="A89" s="80"/>
      <c r="C89" s="89" t="s">
        <v>156</v>
      </c>
      <c r="D89" s="94"/>
      <c r="E89" s="95">
        <f t="shared" ref="E89:G89" si="102">E86/(D91+E80)</f>
        <v>7.7476897964778066E-2</v>
      </c>
      <c r="F89" s="96">
        <f t="shared" si="102"/>
        <v>3.9457105163284115E-2</v>
      </c>
      <c r="G89" s="96">
        <f t="shared" si="102"/>
        <v>5.9730496690315646E-2</v>
      </c>
      <c r="H89" s="93">
        <f t="shared" ref="H89:J89" si="103">G89</f>
        <v>5.9730496690315646E-2</v>
      </c>
      <c r="I89" s="93">
        <f t="shared" si="103"/>
        <v>5.9730496690315646E-2</v>
      </c>
      <c r="J89" s="93">
        <f t="shared" si="103"/>
        <v>5.9730496690315646E-2</v>
      </c>
      <c r="K89" s="80"/>
    </row>
    <row r="90" spans="1:11">
      <c r="A90" s="80"/>
      <c r="C90" s="13"/>
      <c r="D90" s="84"/>
      <c r="E90" s="84"/>
      <c r="F90" s="16"/>
      <c r="G90" s="16"/>
      <c r="H90" s="4"/>
      <c r="I90" s="4"/>
      <c r="J90" s="4"/>
      <c r="K90" s="80"/>
    </row>
    <row r="91" spans="1:11">
      <c r="A91" s="80"/>
      <c r="B91" s="43" t="s">
        <v>160</v>
      </c>
      <c r="C91" s="101" t="s">
        <v>158</v>
      </c>
      <c r="D91" s="102">
        <v>1030688</v>
      </c>
      <c r="E91" s="102">
        <v>1183730</v>
      </c>
      <c r="F91" s="103">
        <v>1320563</v>
      </c>
      <c r="G91" s="103">
        <v>1505267</v>
      </c>
      <c r="H91" s="104">
        <f t="shared" ref="H91:J91" si="104">H79-H87</f>
        <v>1741772.2655421796</v>
      </c>
      <c r="I91" s="104">
        <f t="shared" si="104"/>
        <v>1978097.4061665777</v>
      </c>
      <c r="J91" s="104">
        <f t="shared" si="104"/>
        <v>2215034.3852595836</v>
      </c>
      <c r="K91" s="80"/>
    </row>
    <row r="92" spans="1:11">
      <c r="A92" s="80"/>
      <c r="H92" s="33">
        <f>H91-G91</f>
        <v>236505.26554217958</v>
      </c>
      <c r="I92" s="4"/>
      <c r="J92" s="4"/>
      <c r="K92" s="80"/>
    </row>
    <row r="93" spans="1:11">
      <c r="A93" s="80"/>
      <c r="H93" s="33">
        <f>H80-H86</f>
        <v>236505.26554217972</v>
      </c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H100" s="4"/>
      <c r="I100" s="4"/>
      <c r="J100" s="4"/>
      <c r="K100" s="80"/>
    </row>
    <row r="101" spans="1:11">
      <c r="A101" s="80"/>
      <c r="H101" s="4"/>
      <c r="I101" s="4"/>
      <c r="J101" s="4"/>
      <c r="K101" s="80"/>
    </row>
    <row r="102" spans="1:11">
      <c r="A102" s="80"/>
      <c r="H102" s="4"/>
      <c r="I102" s="4"/>
      <c r="J102" s="4"/>
      <c r="K102" s="80"/>
    </row>
    <row r="103" spans="1:11">
      <c r="A103" s="80"/>
      <c r="H103" s="4"/>
      <c r="I103" s="4"/>
      <c r="J103" s="4"/>
      <c r="K103" s="80"/>
    </row>
    <row r="104" spans="1:11">
      <c r="A104" s="80"/>
      <c r="H104" s="4"/>
      <c r="I104" s="4"/>
      <c r="J104" s="4"/>
      <c r="K104" s="80"/>
    </row>
    <row r="105" spans="1:11">
      <c r="A105" s="80"/>
      <c r="H105" s="4"/>
      <c r="I105" s="4"/>
      <c r="J105" s="4"/>
      <c r="K105" s="80"/>
    </row>
    <row r="106" spans="1:11">
      <c r="A106" s="80"/>
      <c r="H106" s="4"/>
      <c r="I106" s="4"/>
      <c r="J106" s="4"/>
      <c r="K106" s="80"/>
    </row>
    <row r="107" spans="1:11">
      <c r="A107" s="80"/>
      <c r="H107" s="4"/>
      <c r="I107" s="4"/>
      <c r="J107" s="4"/>
      <c r="K107" s="80"/>
    </row>
    <row r="108" spans="1:11">
      <c r="A108" s="80"/>
      <c r="H108" s="4"/>
      <c r="I108" s="4"/>
      <c r="J108" s="4"/>
      <c r="K108" s="80"/>
    </row>
    <row r="109" spans="1:11">
      <c r="A109" s="80"/>
      <c r="H109" s="4"/>
      <c r="I109" s="4"/>
      <c r="J109" s="4"/>
      <c r="K109" s="80"/>
    </row>
    <row r="110" spans="1:11">
      <c r="A110" s="80"/>
      <c r="H110" s="4"/>
      <c r="I110" s="4"/>
      <c r="J110" s="4"/>
      <c r="K110" s="80"/>
    </row>
    <row r="111" spans="1:11">
      <c r="A111" s="80"/>
      <c r="H111" s="4"/>
      <c r="I111" s="4"/>
      <c r="J111" s="4"/>
      <c r="K111" s="80"/>
    </row>
    <row r="112" spans="1:11">
      <c r="A112" s="80"/>
      <c r="H112" s="4"/>
      <c r="I112" s="4"/>
      <c r="J112" s="4"/>
      <c r="K112" s="80"/>
    </row>
    <row r="113" spans="1:11">
      <c r="A113" s="80"/>
      <c r="H113" s="4"/>
      <c r="I113" s="4"/>
      <c r="J113" s="4"/>
      <c r="K113" s="80"/>
    </row>
    <row r="114" spans="1:11">
      <c r="A114" s="80"/>
      <c r="H114" s="4"/>
      <c r="I114" s="4"/>
      <c r="J114" s="4"/>
      <c r="K114" s="80"/>
    </row>
    <row r="115" spans="1:11">
      <c r="A115" s="80"/>
      <c r="H115" s="4"/>
      <c r="I115" s="4"/>
      <c r="J115" s="4"/>
      <c r="K115" s="80"/>
    </row>
    <row r="116" spans="1:11">
      <c r="A116" s="80"/>
      <c r="H116" s="4"/>
      <c r="I116" s="4"/>
      <c r="J116" s="4"/>
      <c r="K116" s="80"/>
    </row>
    <row r="117" spans="1:11">
      <c r="A117" s="80"/>
      <c r="H117" s="4"/>
      <c r="I117" s="4"/>
      <c r="J117" s="4"/>
      <c r="K117" s="80"/>
    </row>
    <row r="118" spans="1:11">
      <c r="A118" s="80"/>
      <c r="H118" s="4"/>
      <c r="I118" s="4"/>
      <c r="J118" s="4"/>
      <c r="K118" s="80"/>
    </row>
    <row r="119" spans="1:11">
      <c r="A119" s="80"/>
      <c r="H119" s="4"/>
      <c r="I119" s="4"/>
      <c r="J119" s="4"/>
      <c r="K119" s="80"/>
    </row>
    <row r="120" spans="1:11">
      <c r="A120" s="80"/>
      <c r="H120" s="4"/>
      <c r="I120" s="4"/>
      <c r="J120" s="4"/>
      <c r="K120" s="80"/>
    </row>
    <row r="121" spans="1:11">
      <c r="A121" s="80"/>
      <c r="H121" s="4"/>
      <c r="I121" s="4"/>
      <c r="J121" s="4"/>
      <c r="K121" s="80"/>
    </row>
    <row r="122" spans="1:11">
      <c r="A122" s="80"/>
      <c r="H122" s="4"/>
      <c r="I122" s="4"/>
      <c r="J122" s="4"/>
      <c r="K122" s="80"/>
    </row>
    <row r="123" spans="1:11">
      <c r="A123" s="80"/>
      <c r="H123" s="4"/>
      <c r="I123" s="4"/>
      <c r="J123" s="4"/>
      <c r="K123" s="80"/>
    </row>
    <row r="124" spans="1:11">
      <c r="A124" s="80"/>
      <c r="H124" s="4"/>
      <c r="I124" s="4"/>
      <c r="J124" s="4"/>
      <c r="K124" s="80"/>
    </row>
    <row r="125" spans="1:11">
      <c r="A125" s="80"/>
      <c r="H125" s="4"/>
      <c r="I125" s="4"/>
      <c r="J125" s="4"/>
      <c r="K125" s="80"/>
    </row>
    <row r="126" spans="1:11">
      <c r="A126" s="80"/>
      <c r="H126" s="4"/>
      <c r="I126" s="4"/>
      <c r="J126" s="4"/>
      <c r="K126" s="80"/>
    </row>
    <row r="127" spans="1:11">
      <c r="A127" s="80"/>
      <c r="H127" s="4"/>
      <c r="I127" s="4"/>
      <c r="J127" s="4"/>
      <c r="K127" s="80"/>
    </row>
    <row r="128" spans="1:11">
      <c r="A128" s="80"/>
      <c r="H128" s="4"/>
      <c r="I128" s="4"/>
      <c r="J128" s="4"/>
      <c r="K128" s="80"/>
    </row>
    <row r="129" spans="1:11">
      <c r="A129" s="80"/>
      <c r="H129" s="4"/>
      <c r="I129" s="4"/>
      <c r="J129" s="4"/>
      <c r="K129" s="80"/>
    </row>
    <row r="130" spans="1:11">
      <c r="A130" s="80"/>
      <c r="H130" s="4"/>
      <c r="I130" s="4"/>
      <c r="J130" s="4"/>
      <c r="K130" s="80"/>
    </row>
    <row r="131" spans="1:11">
      <c r="A131" s="80"/>
      <c r="H131" s="4"/>
      <c r="I131" s="4"/>
      <c r="J131" s="4"/>
      <c r="K131" s="80"/>
    </row>
    <row r="132" spans="1:11">
      <c r="A132" s="80"/>
      <c r="H132" s="4"/>
      <c r="I132" s="4"/>
      <c r="J132" s="4"/>
      <c r="K132" s="80"/>
    </row>
    <row r="133" spans="1:11">
      <c r="A133" s="80"/>
      <c r="H133" s="4"/>
      <c r="I133" s="4"/>
      <c r="J133" s="4"/>
      <c r="K133" s="80"/>
    </row>
    <row r="134" spans="1:11">
      <c r="A134" s="80"/>
      <c r="H134" s="4"/>
      <c r="I134" s="4"/>
      <c r="J134" s="4"/>
      <c r="K134" s="80"/>
    </row>
    <row r="135" spans="1:11">
      <c r="A135" s="80"/>
      <c r="H135" s="4"/>
      <c r="I135" s="4"/>
      <c r="J135" s="4"/>
      <c r="K135" s="80"/>
    </row>
    <row r="136" spans="1:11">
      <c r="A136" s="80"/>
      <c r="H136" s="4"/>
      <c r="I136" s="4"/>
      <c r="J136" s="4"/>
      <c r="K136" s="80"/>
    </row>
    <row r="137" spans="1:11">
      <c r="A137" s="80"/>
      <c r="H137" s="4"/>
      <c r="I137" s="4"/>
      <c r="J137" s="4"/>
      <c r="K137" s="80"/>
    </row>
    <row r="138" spans="1:11">
      <c r="A138" s="80"/>
      <c r="H138" s="4"/>
      <c r="I138" s="4"/>
      <c r="J138" s="4"/>
      <c r="K138" s="80"/>
    </row>
    <row r="139" spans="1:11">
      <c r="A139" s="80"/>
      <c r="H139" s="4"/>
      <c r="I139" s="4"/>
      <c r="J139" s="4"/>
      <c r="K139" s="80"/>
    </row>
    <row r="140" spans="1:11">
      <c r="A140" s="80"/>
      <c r="H140" s="4"/>
      <c r="I140" s="4"/>
      <c r="J140" s="4"/>
      <c r="K140" s="80"/>
    </row>
    <row r="141" spans="1:11">
      <c r="A141" s="80"/>
      <c r="H141" s="4"/>
      <c r="I141" s="4"/>
      <c r="J141" s="4"/>
      <c r="K141" s="80"/>
    </row>
    <row r="142" spans="1:11">
      <c r="A142" s="80"/>
      <c r="H142" s="4"/>
      <c r="I142" s="4"/>
      <c r="J142" s="4"/>
      <c r="K142" s="80"/>
    </row>
    <row r="143" spans="1:11">
      <c r="A143" s="80"/>
      <c r="H143" s="4"/>
      <c r="I143" s="4"/>
      <c r="J143" s="4"/>
      <c r="K143" s="80"/>
    </row>
    <row r="144" spans="1:11">
      <c r="A144" s="80"/>
      <c r="H144" s="4"/>
      <c r="I144" s="4"/>
      <c r="J144" s="4"/>
      <c r="K144" s="80"/>
    </row>
    <row r="145" spans="1:11">
      <c r="A145" s="80"/>
      <c r="H145" s="4"/>
      <c r="I145" s="4"/>
      <c r="J145" s="4"/>
      <c r="K145" s="80"/>
    </row>
    <row r="146" spans="1:11">
      <c r="A146" s="80"/>
      <c r="H146" s="4"/>
      <c r="I146" s="4"/>
      <c r="J146" s="4"/>
      <c r="K146" s="80"/>
    </row>
    <row r="147" spans="1:11">
      <c r="A147" s="80"/>
      <c r="H147" s="4"/>
      <c r="I147" s="4"/>
      <c r="J147" s="4"/>
      <c r="K147" s="80"/>
    </row>
    <row r="148" spans="1:11">
      <c r="A148" s="80"/>
      <c r="H148" s="4"/>
      <c r="I148" s="4"/>
      <c r="J148" s="4"/>
      <c r="K148" s="80"/>
    </row>
    <row r="149" spans="1:11">
      <c r="A149" s="80"/>
      <c r="H149" s="4"/>
      <c r="I149" s="4"/>
      <c r="J149" s="4"/>
      <c r="K149" s="80"/>
    </row>
    <row r="150" spans="1:11">
      <c r="A150" s="80"/>
      <c r="H150" s="4"/>
      <c r="I150" s="4"/>
      <c r="J150" s="4"/>
      <c r="K150" s="80"/>
    </row>
    <row r="151" spans="1:11">
      <c r="A151" s="80"/>
      <c r="H151" s="4"/>
      <c r="I151" s="4"/>
      <c r="J151" s="4"/>
      <c r="K151" s="80"/>
    </row>
    <row r="152" spans="1:11">
      <c r="A152" s="80"/>
      <c r="H152" s="4"/>
      <c r="I152" s="4"/>
      <c r="J152" s="4"/>
      <c r="K152" s="80"/>
    </row>
    <row r="153" spans="1:11">
      <c r="A153" s="80"/>
      <c r="H153" s="4"/>
      <c r="I153" s="4"/>
      <c r="J153" s="4"/>
      <c r="K153" s="80"/>
    </row>
    <row r="154" spans="1:11">
      <c r="A154" s="80"/>
      <c r="H154" s="4"/>
      <c r="I154" s="4"/>
      <c r="J154" s="4"/>
      <c r="K154" s="80"/>
    </row>
    <row r="155" spans="1:11">
      <c r="A155" s="80"/>
      <c r="H155" s="4"/>
      <c r="I155" s="4"/>
      <c r="J155" s="4"/>
      <c r="K155" s="80"/>
    </row>
    <row r="156" spans="1:11">
      <c r="A156" s="80"/>
      <c r="H156" s="4"/>
      <c r="I156" s="4"/>
      <c r="J156" s="4"/>
      <c r="K156" s="80"/>
    </row>
    <row r="157" spans="1:11">
      <c r="A157" s="80"/>
      <c r="H157" s="4"/>
      <c r="I157" s="4"/>
      <c r="J157" s="4"/>
      <c r="K157" s="80"/>
    </row>
    <row r="158" spans="1:11">
      <c r="A158" s="80"/>
      <c r="H158" s="4"/>
      <c r="I158" s="4"/>
      <c r="J158" s="4"/>
      <c r="K158" s="80"/>
    </row>
    <row r="159" spans="1:11">
      <c r="A159" s="80"/>
      <c r="H159" s="4"/>
      <c r="I159" s="4"/>
      <c r="J159" s="4"/>
      <c r="K159" s="80"/>
    </row>
    <row r="160" spans="1:11">
      <c r="A160" s="80"/>
      <c r="H160" s="4"/>
      <c r="I160" s="4"/>
      <c r="J160" s="4"/>
      <c r="K160" s="80"/>
    </row>
    <row r="161" spans="1:11">
      <c r="A161" s="80"/>
      <c r="H161" s="4"/>
      <c r="I161" s="4"/>
      <c r="J161" s="4"/>
      <c r="K161" s="80"/>
    </row>
    <row r="162" spans="1:11">
      <c r="A162" s="80"/>
      <c r="H162" s="4"/>
      <c r="I162" s="4"/>
      <c r="J162" s="4"/>
      <c r="K162" s="80"/>
    </row>
    <row r="163" spans="1:11">
      <c r="A163" s="80"/>
      <c r="H163" s="4"/>
      <c r="I163" s="4"/>
      <c r="J163" s="4"/>
      <c r="K163" s="80"/>
    </row>
    <row r="164" spans="1:11">
      <c r="A164" s="80"/>
      <c r="H164" s="4"/>
      <c r="I164" s="4"/>
      <c r="J164" s="4"/>
      <c r="K164" s="80"/>
    </row>
    <row r="165" spans="1:11">
      <c r="A165" s="80"/>
      <c r="H165" s="4"/>
      <c r="I165" s="4"/>
      <c r="J165" s="4"/>
      <c r="K165" s="80"/>
    </row>
    <row r="166" spans="1:11">
      <c r="A166" s="80"/>
      <c r="H166" s="4"/>
      <c r="I166" s="4"/>
      <c r="J166" s="4"/>
      <c r="K166" s="80"/>
    </row>
    <row r="167" spans="1:11">
      <c r="A167" s="80"/>
      <c r="H167" s="4"/>
      <c r="I167" s="4"/>
      <c r="J167" s="4"/>
      <c r="K167" s="80"/>
    </row>
    <row r="168" spans="1:11">
      <c r="A168" s="80"/>
      <c r="H168" s="4"/>
      <c r="I168" s="4"/>
      <c r="J168" s="4"/>
      <c r="K168" s="80"/>
    </row>
    <row r="169" spans="1:11">
      <c r="A169" s="80"/>
      <c r="H169" s="4"/>
      <c r="I169" s="4"/>
      <c r="J169" s="4"/>
      <c r="K169" s="80"/>
    </row>
    <row r="170" spans="1:11">
      <c r="A170" s="80"/>
      <c r="H170" s="4"/>
      <c r="I170" s="4"/>
      <c r="J170" s="4"/>
      <c r="K170" s="80"/>
    </row>
    <row r="171" spans="1:11">
      <c r="A171" s="80"/>
      <c r="H171" s="4"/>
      <c r="I171" s="4"/>
      <c r="J171" s="4"/>
      <c r="K171" s="80"/>
    </row>
    <row r="172" spans="1:11">
      <c r="A172" s="80"/>
      <c r="H172" s="4"/>
      <c r="I172" s="4"/>
      <c r="J172" s="4"/>
      <c r="K172" s="80"/>
    </row>
    <row r="173" spans="1:11">
      <c r="A173" s="80"/>
      <c r="B173" s="80"/>
      <c r="C173" s="80"/>
      <c r="D173" s="80"/>
      <c r="E173" s="80"/>
      <c r="F173" s="80"/>
      <c r="G173" s="80"/>
      <c r="H173" s="80"/>
      <c r="I173" s="80"/>
      <c r="J173" s="80"/>
      <c r="K173" s="80"/>
    </row>
  </sheetData>
  <mergeCells count="5">
    <mergeCell ref="B2:C2"/>
    <mergeCell ref="E3:G3"/>
    <mergeCell ref="H3:J3"/>
    <mergeCell ref="B4:C4"/>
    <mergeCell ref="B3:C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43E0A-E420-46F4-93B3-3471B9839461}">
  <dimension ref="A1:L100"/>
  <sheetViews>
    <sheetView topLeftCell="A10" workbookViewId="0">
      <selection activeCell="E85" sqref="E85"/>
    </sheetView>
  </sheetViews>
  <sheetFormatPr defaultColWidth="0" defaultRowHeight="14.4"/>
  <cols>
    <col min="1" max="2" width="3.77734375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161</v>
      </c>
      <c r="C3" s="267"/>
      <c r="D3" s="77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C6" s="6" t="s">
        <v>165</v>
      </c>
      <c r="H6" s="4"/>
      <c r="I6" s="4"/>
      <c r="J6" s="4"/>
      <c r="K6" s="80"/>
    </row>
    <row r="7" spans="1:11">
      <c r="A7" s="80"/>
      <c r="C7" t="s">
        <v>175</v>
      </c>
      <c r="D7" s="107">
        <v>10204</v>
      </c>
      <c r="E7" s="108">
        <v>10204</v>
      </c>
      <c r="F7" s="108">
        <v>11431</v>
      </c>
      <c r="G7" s="108">
        <v>11431</v>
      </c>
      <c r="H7" s="33">
        <f t="shared" ref="H7:J7" si="1">G15</f>
        <v>10833</v>
      </c>
      <c r="I7" s="33">
        <f t="shared" si="1"/>
        <v>10833</v>
      </c>
      <c r="J7" s="33">
        <f t="shared" si="1"/>
        <v>10833</v>
      </c>
      <c r="K7" s="80"/>
    </row>
    <row r="8" spans="1:11">
      <c r="A8" s="80"/>
      <c r="C8" s="105" t="s">
        <v>21</v>
      </c>
      <c r="D8" s="109">
        <v>0</v>
      </c>
      <c r="E8" s="109">
        <v>0</v>
      </c>
      <c r="F8" s="109">
        <v>0</v>
      </c>
      <c r="G8" s="109">
        <v>0</v>
      </c>
      <c r="H8" s="4"/>
      <c r="I8" s="4"/>
      <c r="J8" s="4"/>
      <c r="K8" s="80"/>
    </row>
    <row r="9" spans="1:11">
      <c r="A9" s="80"/>
      <c r="C9" s="105" t="s">
        <v>163</v>
      </c>
      <c r="D9" s="109">
        <v>0</v>
      </c>
      <c r="E9" s="109">
        <v>0</v>
      </c>
      <c r="F9" s="109">
        <v>0</v>
      </c>
      <c r="G9" s="109">
        <v>0</v>
      </c>
      <c r="H9" s="4"/>
      <c r="I9" s="4"/>
      <c r="J9" s="4"/>
      <c r="K9" s="80"/>
    </row>
    <row r="10" spans="1:11">
      <c r="A10" s="80"/>
      <c r="C10" s="105" t="s">
        <v>164</v>
      </c>
      <c r="D10" s="109">
        <v>0</v>
      </c>
      <c r="E10" s="106"/>
      <c r="F10" s="106"/>
      <c r="G10" s="106"/>
      <c r="H10" s="4"/>
      <c r="I10" s="4"/>
      <c r="J10" s="4"/>
      <c r="K10" s="80"/>
    </row>
    <row r="11" spans="1:11">
      <c r="A11" s="80"/>
      <c r="C11" s="106" t="s">
        <v>172</v>
      </c>
      <c r="D11" s="109">
        <v>0</v>
      </c>
      <c r="E11" s="109">
        <v>0</v>
      </c>
      <c r="F11" s="109">
        <v>0</v>
      </c>
      <c r="G11" s="109">
        <v>0</v>
      </c>
      <c r="H11" s="4"/>
      <c r="I11" s="4"/>
      <c r="J11" s="4"/>
      <c r="K11" s="80"/>
    </row>
    <row r="12" spans="1:11">
      <c r="A12" s="80"/>
      <c r="C12" s="106" t="s">
        <v>173</v>
      </c>
      <c r="D12" s="109">
        <v>0</v>
      </c>
      <c r="E12" s="109">
        <v>0</v>
      </c>
      <c r="F12" s="109">
        <v>0</v>
      </c>
      <c r="G12" s="109">
        <v>0</v>
      </c>
      <c r="H12" s="4"/>
      <c r="I12" s="4"/>
      <c r="J12" s="4"/>
      <c r="K12" s="80"/>
    </row>
    <row r="13" spans="1:11">
      <c r="A13" s="80"/>
      <c r="C13" s="106" t="s">
        <v>174</v>
      </c>
      <c r="D13" s="109">
        <v>0</v>
      </c>
      <c r="E13" s="107">
        <v>1227</v>
      </c>
      <c r="F13" s="109"/>
      <c r="G13" s="109"/>
      <c r="H13" s="4"/>
      <c r="I13" s="4"/>
      <c r="J13" s="4"/>
      <c r="K13" s="80"/>
    </row>
    <row r="14" spans="1:11">
      <c r="A14" s="80"/>
      <c r="C14" s="106" t="s">
        <v>177</v>
      </c>
      <c r="D14" s="109">
        <v>0</v>
      </c>
      <c r="E14" s="107"/>
      <c r="F14" s="109"/>
      <c r="G14" s="109">
        <v>-598</v>
      </c>
      <c r="H14" s="4"/>
      <c r="I14" s="4"/>
      <c r="J14" s="4"/>
      <c r="K14" s="80"/>
    </row>
    <row r="15" spans="1:11">
      <c r="A15" s="80"/>
      <c r="B15" s="43"/>
      <c r="C15" s="111" t="s">
        <v>176</v>
      </c>
      <c r="D15" s="112">
        <v>10204</v>
      </c>
      <c r="E15" s="112">
        <v>11431</v>
      </c>
      <c r="F15" s="112">
        <v>11431</v>
      </c>
      <c r="G15" s="112">
        <v>10833</v>
      </c>
      <c r="H15" s="104">
        <f t="shared" ref="H15:J15" si="2">SUM(H7:H14)</f>
        <v>10833</v>
      </c>
      <c r="I15" s="104">
        <f t="shared" si="2"/>
        <v>10833</v>
      </c>
      <c r="J15" s="104">
        <f t="shared" si="2"/>
        <v>10833</v>
      </c>
      <c r="K15" s="80"/>
    </row>
    <row r="16" spans="1:11">
      <c r="A16" s="80"/>
      <c r="C16" s="106"/>
      <c r="D16" s="108"/>
      <c r="E16" s="108"/>
      <c r="F16" s="108"/>
      <c r="G16" s="108"/>
      <c r="H16" s="4"/>
      <c r="I16" s="4"/>
      <c r="J16" s="4"/>
      <c r="K16" s="80"/>
    </row>
    <row r="17" spans="1:11">
      <c r="A17" s="80"/>
      <c r="C17" s="6" t="s">
        <v>166</v>
      </c>
      <c r="H17" s="4"/>
      <c r="I17" s="4"/>
      <c r="J17" s="4"/>
      <c r="K17" s="80"/>
    </row>
    <row r="18" spans="1:11">
      <c r="A18" s="80"/>
      <c r="C18" t="s">
        <v>175</v>
      </c>
      <c r="D18" s="107">
        <v>2860</v>
      </c>
      <c r="E18" s="108">
        <v>2860</v>
      </c>
      <c r="F18" s="108">
        <v>1633</v>
      </c>
      <c r="G18" s="108">
        <v>1633</v>
      </c>
      <c r="H18" s="33">
        <f t="shared" ref="H18:J18" si="3">G26</f>
        <v>1633</v>
      </c>
      <c r="I18" s="33">
        <f t="shared" si="3"/>
        <v>1633</v>
      </c>
      <c r="J18" s="33">
        <f t="shared" si="3"/>
        <v>1633</v>
      </c>
      <c r="K18" s="80"/>
    </row>
    <row r="19" spans="1:11">
      <c r="A19" s="80"/>
      <c r="C19" s="105" t="s">
        <v>21</v>
      </c>
      <c r="D19" s="109">
        <v>0</v>
      </c>
      <c r="E19" s="109">
        <v>0</v>
      </c>
      <c r="F19" s="109">
        <v>0</v>
      </c>
      <c r="G19" s="109">
        <v>0</v>
      </c>
      <c r="H19" s="4"/>
      <c r="I19" s="4"/>
      <c r="J19" s="4"/>
      <c r="K19" s="80"/>
    </row>
    <row r="20" spans="1:11">
      <c r="A20" s="80"/>
      <c r="C20" s="105" t="s">
        <v>163</v>
      </c>
      <c r="D20" s="109">
        <v>0</v>
      </c>
      <c r="E20" s="109">
        <v>0</v>
      </c>
      <c r="F20" s="109">
        <v>0</v>
      </c>
      <c r="G20" s="109">
        <v>0</v>
      </c>
      <c r="H20" s="4"/>
      <c r="I20" s="4"/>
      <c r="J20" s="4"/>
      <c r="K20" s="80"/>
    </row>
    <row r="21" spans="1:11">
      <c r="A21" s="80"/>
      <c r="C21" s="105" t="s">
        <v>164</v>
      </c>
      <c r="D21" s="109">
        <v>0</v>
      </c>
      <c r="E21" s="106"/>
      <c r="F21" s="106"/>
      <c r="G21" s="106"/>
      <c r="H21" s="4"/>
      <c r="I21" s="4"/>
      <c r="J21" s="4"/>
      <c r="K21" s="80"/>
    </row>
    <row r="22" spans="1:11">
      <c r="A22" s="80"/>
      <c r="C22" s="106" t="s">
        <v>172</v>
      </c>
      <c r="D22" s="109">
        <v>0</v>
      </c>
      <c r="E22" s="109">
        <v>0</v>
      </c>
      <c r="F22" s="109">
        <v>0</v>
      </c>
      <c r="G22" s="109">
        <v>0</v>
      </c>
      <c r="H22" s="4"/>
      <c r="I22" s="4"/>
      <c r="J22" s="4"/>
      <c r="K22" s="80"/>
    </row>
    <row r="23" spans="1:11">
      <c r="A23" s="80"/>
      <c r="C23" s="106" t="s">
        <v>173</v>
      </c>
      <c r="D23" s="109">
        <v>0</v>
      </c>
      <c r="E23" s="109">
        <v>0</v>
      </c>
      <c r="F23" s="109">
        <v>0</v>
      </c>
      <c r="G23" s="109">
        <v>0</v>
      </c>
      <c r="H23" s="4"/>
      <c r="I23" s="4"/>
      <c r="J23" s="4"/>
      <c r="K23" s="80"/>
    </row>
    <row r="24" spans="1:11">
      <c r="A24" s="80"/>
      <c r="C24" s="106" t="s">
        <v>174</v>
      </c>
      <c r="D24" s="109">
        <v>0</v>
      </c>
      <c r="E24" s="107">
        <v>-1227</v>
      </c>
      <c r="F24" s="109"/>
      <c r="G24" s="109"/>
      <c r="H24" s="4"/>
      <c r="I24" s="4"/>
      <c r="J24" s="4"/>
      <c r="K24" s="80"/>
    </row>
    <row r="25" spans="1:11">
      <c r="A25" s="80"/>
      <c r="C25" s="106" t="s">
        <v>177</v>
      </c>
      <c r="D25" s="109">
        <v>0</v>
      </c>
      <c r="E25" s="107"/>
      <c r="F25" s="109"/>
      <c r="G25" s="109">
        <v>0</v>
      </c>
      <c r="H25" s="4"/>
      <c r="I25" s="4"/>
      <c r="J25" s="4"/>
      <c r="K25" s="80"/>
    </row>
    <row r="26" spans="1:11">
      <c r="A26" s="80"/>
      <c r="B26" s="43"/>
      <c r="C26" s="111" t="s">
        <v>176</v>
      </c>
      <c r="D26" s="112">
        <v>2860</v>
      </c>
      <c r="E26" s="112">
        <v>1633</v>
      </c>
      <c r="F26" s="112">
        <v>1633</v>
      </c>
      <c r="G26" s="112">
        <v>1633</v>
      </c>
      <c r="H26" s="104">
        <f t="shared" ref="H26" si="4">SUM(H18:H25)</f>
        <v>1633</v>
      </c>
      <c r="I26" s="104">
        <f t="shared" ref="I26" si="5">SUM(I18:I25)</f>
        <v>1633</v>
      </c>
      <c r="J26" s="104">
        <f t="shared" ref="J26" si="6">SUM(J18:J25)</f>
        <v>1633</v>
      </c>
      <c r="K26" s="80"/>
    </row>
    <row r="27" spans="1:11">
      <c r="A27" s="80"/>
      <c r="C27" s="106"/>
      <c r="D27" s="108"/>
      <c r="E27" s="108"/>
      <c r="F27" s="108"/>
      <c r="G27" s="108"/>
      <c r="H27" s="4"/>
      <c r="I27" s="4"/>
      <c r="J27" s="4"/>
      <c r="K27" s="80"/>
    </row>
    <row r="28" spans="1:11">
      <c r="A28" s="80"/>
      <c r="C28" s="6" t="s">
        <v>162</v>
      </c>
      <c r="H28" s="4"/>
      <c r="I28" s="4"/>
      <c r="J28" s="4"/>
      <c r="K28" s="80"/>
    </row>
    <row r="29" spans="1:11">
      <c r="A29" s="80"/>
      <c r="C29" t="s">
        <v>175</v>
      </c>
      <c r="D29" s="107">
        <v>135953</v>
      </c>
      <c r="E29" s="108">
        <v>135953</v>
      </c>
      <c r="F29" s="108">
        <v>135953</v>
      </c>
      <c r="G29" s="108">
        <v>135953</v>
      </c>
      <c r="H29" s="33">
        <f t="shared" ref="H29:J29" si="7">G37</f>
        <v>135953</v>
      </c>
      <c r="I29" s="33">
        <f t="shared" si="7"/>
        <v>135953</v>
      </c>
      <c r="J29" s="33">
        <f t="shared" si="7"/>
        <v>135953</v>
      </c>
      <c r="K29" s="80"/>
    </row>
    <row r="30" spans="1:11">
      <c r="A30" s="80"/>
      <c r="C30" s="105" t="s">
        <v>21</v>
      </c>
      <c r="D30" s="109">
        <v>0</v>
      </c>
      <c r="E30" s="109">
        <v>0</v>
      </c>
      <c r="F30" s="109">
        <v>0</v>
      </c>
      <c r="G30" s="109">
        <v>0</v>
      </c>
      <c r="H30" s="4"/>
      <c r="I30" s="4"/>
      <c r="J30" s="4"/>
      <c r="K30" s="80"/>
    </row>
    <row r="31" spans="1:11">
      <c r="A31" s="80"/>
      <c r="C31" s="105" t="s">
        <v>163</v>
      </c>
      <c r="D31" s="109">
        <v>0</v>
      </c>
      <c r="E31" s="109">
        <v>0</v>
      </c>
      <c r="F31" s="109">
        <v>0</v>
      </c>
      <c r="G31" s="109">
        <v>0</v>
      </c>
      <c r="H31" s="4"/>
      <c r="I31" s="4"/>
      <c r="J31" s="4"/>
      <c r="K31" s="80"/>
    </row>
    <row r="32" spans="1:11">
      <c r="A32" s="80"/>
      <c r="C32" s="105" t="s">
        <v>164</v>
      </c>
      <c r="D32" s="109">
        <v>0</v>
      </c>
      <c r="E32" s="106"/>
      <c r="F32" s="106"/>
      <c r="G32" s="106"/>
      <c r="H32" s="4"/>
      <c r="I32" s="4"/>
      <c r="J32" s="4"/>
      <c r="K32" s="80"/>
    </row>
    <row r="33" spans="1:11">
      <c r="A33" s="80"/>
      <c r="C33" s="106" t="s">
        <v>172</v>
      </c>
      <c r="D33" s="109">
        <v>0</v>
      </c>
      <c r="E33" s="109">
        <v>0</v>
      </c>
      <c r="F33" s="109">
        <v>0</v>
      </c>
      <c r="G33" s="109">
        <v>0</v>
      </c>
      <c r="H33" s="4"/>
      <c r="I33" s="4"/>
      <c r="J33" s="4"/>
      <c r="K33" s="80"/>
    </row>
    <row r="34" spans="1:11">
      <c r="A34" s="80"/>
      <c r="C34" s="106" t="s">
        <v>173</v>
      </c>
      <c r="D34" s="109">
        <v>0</v>
      </c>
      <c r="E34" s="109">
        <v>0</v>
      </c>
      <c r="F34" s="109">
        <v>0</v>
      </c>
      <c r="G34" s="109">
        <v>0</v>
      </c>
      <c r="H34" s="4"/>
      <c r="I34" s="4"/>
      <c r="J34" s="4"/>
      <c r="K34" s="80"/>
    </row>
    <row r="35" spans="1:11">
      <c r="A35" s="80"/>
      <c r="C35" s="106" t="s">
        <v>174</v>
      </c>
      <c r="D35" s="109">
        <v>0</v>
      </c>
      <c r="E35" s="109">
        <v>0</v>
      </c>
      <c r="F35" s="109"/>
      <c r="G35" s="109"/>
      <c r="H35" s="4"/>
      <c r="I35" s="4"/>
      <c r="J35" s="4"/>
      <c r="K35" s="80"/>
    </row>
    <row r="36" spans="1:11">
      <c r="A36" s="80"/>
      <c r="C36" s="106" t="s">
        <v>177</v>
      </c>
      <c r="D36" s="109">
        <v>0</v>
      </c>
      <c r="E36" s="109"/>
      <c r="F36" s="109"/>
      <c r="G36" s="109">
        <v>0</v>
      </c>
      <c r="H36" s="4"/>
      <c r="I36" s="4"/>
      <c r="J36" s="4"/>
      <c r="K36" s="80"/>
    </row>
    <row r="37" spans="1:11">
      <c r="A37" s="80"/>
      <c r="B37" s="43"/>
      <c r="C37" s="111" t="s">
        <v>176</v>
      </c>
      <c r="D37" s="112">
        <v>135953</v>
      </c>
      <c r="E37" s="112">
        <v>135953</v>
      </c>
      <c r="F37" s="112">
        <v>135953</v>
      </c>
      <c r="G37" s="112">
        <v>135953</v>
      </c>
      <c r="H37" s="104">
        <f t="shared" ref="H37" si="8">SUM(H29:H36)</f>
        <v>135953</v>
      </c>
      <c r="I37" s="104">
        <f t="shared" ref="I37" si="9">SUM(I29:I36)</f>
        <v>135953</v>
      </c>
      <c r="J37" s="104">
        <f t="shared" ref="J37" si="10">SUM(J29:J36)</f>
        <v>135953</v>
      </c>
      <c r="K37" s="80"/>
    </row>
    <row r="38" spans="1:11">
      <c r="A38" s="80"/>
      <c r="C38" s="106"/>
      <c r="D38" s="108"/>
      <c r="E38" s="108"/>
      <c r="F38" s="108"/>
      <c r="G38" s="108"/>
      <c r="H38" s="4"/>
      <c r="I38" s="4"/>
      <c r="J38" s="4"/>
      <c r="K38" s="80"/>
    </row>
    <row r="39" spans="1:11">
      <c r="A39" s="80"/>
      <c r="C39" s="6" t="s">
        <v>167</v>
      </c>
      <c r="H39" s="4"/>
      <c r="I39" s="4"/>
      <c r="J39" s="4"/>
      <c r="K39" s="80"/>
    </row>
    <row r="40" spans="1:11">
      <c r="A40" s="80"/>
      <c r="C40" t="s">
        <v>175</v>
      </c>
      <c r="D40" s="107">
        <v>544280</v>
      </c>
      <c r="E40" s="108">
        <v>724486</v>
      </c>
      <c r="F40" s="108">
        <v>1112462</v>
      </c>
      <c r="G40" s="108">
        <v>1352111</v>
      </c>
      <c r="H40" s="33">
        <f t="shared" ref="H40:J40" si="11">G48</f>
        <v>1395183</v>
      </c>
      <c r="I40" s="33">
        <f t="shared" si="11"/>
        <v>1958448.058806719</v>
      </c>
      <c r="J40" s="33">
        <f t="shared" si="11"/>
        <v>2535872.7411945499</v>
      </c>
      <c r="K40" s="80"/>
    </row>
    <row r="41" spans="1:11">
      <c r="A41" s="80"/>
      <c r="C41" s="105" t="s">
        <v>21</v>
      </c>
      <c r="D41" s="107">
        <v>189580</v>
      </c>
      <c r="E41" s="107">
        <v>430158</v>
      </c>
      <c r="F41" s="107">
        <v>408375</v>
      </c>
      <c r="G41" s="107">
        <v>633125</v>
      </c>
      <c r="H41" s="33">
        <f>'Income Statement'!G19</f>
        <v>563265.05880671903</v>
      </c>
      <c r="I41" s="33">
        <f>'Income Statement'!H19</f>
        <v>577424.68238783092</v>
      </c>
      <c r="J41" s="33">
        <f>'Income Statement'!I19</f>
        <v>619890.91493044107</v>
      </c>
      <c r="K41" s="80"/>
    </row>
    <row r="42" spans="1:11">
      <c r="A42" s="80"/>
      <c r="C42" s="105" t="s">
        <v>163</v>
      </c>
      <c r="D42" s="109">
        <v>0</v>
      </c>
      <c r="E42" s="109">
        <v>0</v>
      </c>
      <c r="F42" s="109">
        <v>0</v>
      </c>
      <c r="G42" s="109">
        <v>0</v>
      </c>
      <c r="H42" s="4"/>
      <c r="I42" s="4"/>
      <c r="J42" s="4"/>
      <c r="K42" s="80"/>
    </row>
    <row r="43" spans="1:11">
      <c r="A43" s="80"/>
      <c r="C43" s="105" t="s">
        <v>164</v>
      </c>
      <c r="D43" s="109">
        <v>0</v>
      </c>
      <c r="E43" s="106"/>
      <c r="F43" s="106"/>
      <c r="G43" s="106"/>
      <c r="H43" s="4"/>
      <c r="I43" s="4"/>
      <c r="J43" s="4"/>
      <c r="K43" s="80"/>
    </row>
    <row r="44" spans="1:11">
      <c r="A44" s="80"/>
      <c r="C44" s="106" t="s">
        <v>172</v>
      </c>
      <c r="D44" s="107">
        <v>-7141</v>
      </c>
      <c r="E44" s="107">
        <v>-37354</v>
      </c>
      <c r="F44" s="107">
        <v>-150642</v>
      </c>
      <c r="G44" s="107">
        <v>-27452</v>
      </c>
      <c r="H44" s="4"/>
      <c r="I44" s="4"/>
      <c r="J44" s="4"/>
      <c r="K44" s="80"/>
    </row>
    <row r="45" spans="1:11">
      <c r="A45" s="80"/>
      <c r="C45" s="106" t="s">
        <v>173</v>
      </c>
      <c r="D45" s="107">
        <v>-2233</v>
      </c>
      <c r="E45" s="107">
        <v>-4828</v>
      </c>
      <c r="F45" s="107">
        <v>-18084</v>
      </c>
      <c r="G45" s="107">
        <v>-3517</v>
      </c>
      <c r="H45" s="4"/>
      <c r="I45" s="4"/>
      <c r="J45" s="4"/>
      <c r="K45" s="80"/>
    </row>
    <row r="46" spans="1:11">
      <c r="A46" s="80"/>
      <c r="C46" s="106" t="s">
        <v>174</v>
      </c>
      <c r="E46" s="109">
        <v>0</v>
      </c>
      <c r="F46" s="107"/>
      <c r="G46" s="107"/>
      <c r="H46" s="4"/>
      <c r="I46" s="4"/>
      <c r="J46" s="4"/>
      <c r="K46" s="80"/>
    </row>
    <row r="47" spans="1:11">
      <c r="A47" s="80"/>
      <c r="C47" s="106" t="s">
        <v>177</v>
      </c>
      <c r="E47" s="109"/>
      <c r="F47" s="107"/>
      <c r="G47" s="107">
        <v>-559084</v>
      </c>
      <c r="H47" s="4"/>
      <c r="I47" s="4"/>
      <c r="J47" s="4"/>
      <c r="K47" s="80"/>
    </row>
    <row r="48" spans="1:11">
      <c r="A48" s="80"/>
      <c r="B48" s="43"/>
      <c r="C48" s="111" t="s">
        <v>176</v>
      </c>
      <c r="D48" s="112">
        <v>724486</v>
      </c>
      <c r="E48" s="112">
        <v>1112462</v>
      </c>
      <c r="F48" s="112">
        <v>1352111</v>
      </c>
      <c r="G48" s="112">
        <v>1395183</v>
      </c>
      <c r="H48" s="104">
        <f t="shared" ref="H48" si="12">SUM(H40:H47)</f>
        <v>1958448.058806719</v>
      </c>
      <c r="I48" s="104">
        <f t="shared" ref="I48" si="13">SUM(I40:I47)</f>
        <v>2535872.7411945499</v>
      </c>
      <c r="J48" s="104">
        <f t="shared" ref="J48" si="14">SUM(J40:J47)</f>
        <v>3155763.6561249909</v>
      </c>
      <c r="K48" s="80"/>
    </row>
    <row r="49" spans="1:11">
      <c r="A49" s="80"/>
      <c r="C49" s="106"/>
      <c r="D49" s="108"/>
      <c r="E49" s="108"/>
      <c r="F49" s="108"/>
      <c r="G49" s="108"/>
      <c r="H49" s="4"/>
      <c r="I49" s="4"/>
      <c r="J49" s="4"/>
      <c r="K49" s="80"/>
    </row>
    <row r="50" spans="1:11">
      <c r="A50" s="80"/>
      <c r="C50" s="6" t="s">
        <v>168</v>
      </c>
      <c r="H50" s="4"/>
      <c r="I50" s="4"/>
      <c r="J50" s="4"/>
      <c r="K50" s="80"/>
    </row>
    <row r="51" spans="1:11">
      <c r="A51" s="80"/>
      <c r="C51" t="s">
        <v>175</v>
      </c>
      <c r="D51" s="107">
        <v>-119053</v>
      </c>
      <c r="E51" s="108">
        <v>-100463</v>
      </c>
      <c r="F51" s="108">
        <v>-84837</v>
      </c>
      <c r="G51" s="108">
        <v>-4276</v>
      </c>
      <c r="H51" s="33">
        <f t="shared" ref="H51:J51" si="15">G59</f>
        <v>1885</v>
      </c>
      <c r="I51" s="33">
        <f t="shared" si="15"/>
        <v>1885</v>
      </c>
      <c r="J51" s="33">
        <f t="shared" si="15"/>
        <v>1885</v>
      </c>
      <c r="K51" s="80"/>
    </row>
    <row r="52" spans="1:11">
      <c r="A52" s="80"/>
      <c r="C52" s="105" t="s">
        <v>21</v>
      </c>
      <c r="D52" s="109">
        <v>0</v>
      </c>
      <c r="E52" s="109">
        <v>0</v>
      </c>
      <c r="F52" s="109">
        <v>0</v>
      </c>
      <c r="G52" s="109">
        <v>0</v>
      </c>
      <c r="H52" s="4"/>
      <c r="I52" s="4"/>
      <c r="J52" s="4"/>
      <c r="K52" s="80"/>
    </row>
    <row r="53" spans="1:11">
      <c r="A53" s="80"/>
      <c r="C53" s="105" t="s">
        <v>163</v>
      </c>
      <c r="D53" s="107">
        <v>18590</v>
      </c>
      <c r="E53" s="107">
        <v>15626</v>
      </c>
      <c r="F53" s="107">
        <v>80561</v>
      </c>
      <c r="G53" s="107">
        <v>6161</v>
      </c>
      <c r="H53" s="4"/>
      <c r="I53" s="4"/>
      <c r="J53" s="4"/>
      <c r="K53" s="80"/>
    </row>
    <row r="54" spans="1:11">
      <c r="A54" s="80"/>
      <c r="C54" s="105" t="s">
        <v>164</v>
      </c>
      <c r="D54" s="109">
        <v>0</v>
      </c>
      <c r="E54" s="106"/>
      <c r="F54" s="106"/>
      <c r="G54" s="106"/>
      <c r="H54" s="4"/>
      <c r="I54" s="4"/>
      <c r="J54" s="4"/>
      <c r="K54" s="80"/>
    </row>
    <row r="55" spans="1:11">
      <c r="A55" s="80"/>
      <c r="C55" s="106" t="s">
        <v>172</v>
      </c>
      <c r="D55" s="109">
        <v>0</v>
      </c>
      <c r="E55" s="109">
        <v>0</v>
      </c>
      <c r="F55" s="109">
        <v>0</v>
      </c>
      <c r="G55" s="109">
        <v>0</v>
      </c>
      <c r="H55" s="4"/>
      <c r="I55" s="4"/>
      <c r="J55" s="4"/>
      <c r="K55" s="80"/>
    </row>
    <row r="56" spans="1:11">
      <c r="A56" s="80"/>
      <c r="C56" s="106" t="s">
        <v>173</v>
      </c>
      <c r="D56" s="109">
        <v>0</v>
      </c>
      <c r="E56" s="109">
        <v>0</v>
      </c>
      <c r="F56" s="109">
        <v>0</v>
      </c>
      <c r="G56" s="109">
        <v>0</v>
      </c>
      <c r="H56" s="4"/>
      <c r="I56" s="4"/>
      <c r="J56" s="4"/>
      <c r="K56" s="80"/>
    </row>
    <row r="57" spans="1:11">
      <c r="A57" s="80"/>
      <c r="C57" s="106" t="s">
        <v>174</v>
      </c>
      <c r="D57" s="109">
        <v>0</v>
      </c>
      <c r="E57" s="109">
        <v>0</v>
      </c>
      <c r="F57" s="109"/>
      <c r="G57" s="109"/>
      <c r="H57" s="4"/>
      <c r="I57" s="4"/>
      <c r="J57" s="4"/>
      <c r="K57" s="80"/>
    </row>
    <row r="58" spans="1:11">
      <c r="A58" s="80"/>
      <c r="C58" s="106" t="s">
        <v>177</v>
      </c>
      <c r="D58" s="109">
        <v>0</v>
      </c>
      <c r="E58" s="109"/>
      <c r="F58" s="109"/>
      <c r="G58" s="109">
        <v>0</v>
      </c>
      <c r="H58" s="4"/>
      <c r="I58" s="4"/>
      <c r="J58" s="4"/>
      <c r="K58" s="80"/>
    </row>
    <row r="59" spans="1:11">
      <c r="A59" s="80"/>
      <c r="B59" s="43"/>
      <c r="C59" s="111" t="s">
        <v>176</v>
      </c>
      <c r="D59" s="112">
        <v>-100463</v>
      </c>
      <c r="E59" s="112">
        <v>-84837</v>
      </c>
      <c r="F59" s="112">
        <v>-4276</v>
      </c>
      <c r="G59" s="112">
        <v>1885</v>
      </c>
      <c r="H59" s="104">
        <f t="shared" ref="H59" si="16">SUM(H51:H58)</f>
        <v>1885</v>
      </c>
      <c r="I59" s="104">
        <f t="shared" ref="I59" si="17">SUM(I51:I58)</f>
        <v>1885</v>
      </c>
      <c r="J59" s="104">
        <f t="shared" ref="J59" si="18">SUM(J51:J58)</f>
        <v>1885</v>
      </c>
      <c r="K59" s="80"/>
    </row>
    <row r="60" spans="1:11">
      <c r="A60" s="80"/>
      <c r="C60" s="106"/>
      <c r="D60" s="108"/>
      <c r="E60" s="108"/>
      <c r="F60" s="108"/>
      <c r="G60" s="108"/>
      <c r="H60" s="4"/>
      <c r="I60" s="4"/>
      <c r="J60" s="4"/>
      <c r="K60" s="80"/>
    </row>
    <row r="61" spans="1:11">
      <c r="A61" s="80"/>
      <c r="C61" s="6" t="s">
        <v>169</v>
      </c>
      <c r="H61" s="4"/>
      <c r="I61" s="4"/>
      <c r="J61" s="4"/>
      <c r="K61" s="80"/>
    </row>
    <row r="62" spans="1:11">
      <c r="A62" s="80"/>
      <c r="C62" t="s">
        <v>175</v>
      </c>
      <c r="D62" s="108">
        <v>-60845</v>
      </c>
      <c r="E62" s="108">
        <v>-60845</v>
      </c>
      <c r="F62" s="108">
        <v>-60845</v>
      </c>
      <c r="G62" s="108">
        <v>-60845</v>
      </c>
      <c r="H62" s="33">
        <f t="shared" ref="H62:J62" si="19">G70</f>
        <v>-127467</v>
      </c>
      <c r="I62" s="33">
        <f t="shared" si="19"/>
        <v>-127467</v>
      </c>
      <c r="J62" s="33">
        <f t="shared" si="19"/>
        <v>-127467</v>
      </c>
      <c r="K62" s="80"/>
    </row>
    <row r="63" spans="1:11">
      <c r="A63" s="80"/>
      <c r="C63" s="105" t="s">
        <v>21</v>
      </c>
      <c r="D63" s="109">
        <v>0</v>
      </c>
      <c r="E63" s="109">
        <v>0</v>
      </c>
      <c r="F63" s="109">
        <v>0</v>
      </c>
      <c r="G63" s="109">
        <v>0</v>
      </c>
      <c r="H63" s="4"/>
      <c r="I63" s="4"/>
      <c r="J63" s="4"/>
      <c r="K63" s="80"/>
    </row>
    <row r="64" spans="1:11">
      <c r="A64" s="80"/>
      <c r="C64" s="105" t="s">
        <v>163</v>
      </c>
      <c r="D64" s="109">
        <v>0</v>
      </c>
      <c r="E64" s="109">
        <v>0</v>
      </c>
      <c r="F64" s="109">
        <v>0</v>
      </c>
      <c r="G64" s="109">
        <v>0</v>
      </c>
      <c r="H64" s="4"/>
      <c r="I64" s="4"/>
      <c r="J64" s="4"/>
      <c r="K64" s="80"/>
    </row>
    <row r="65" spans="1:11">
      <c r="A65" s="80"/>
      <c r="C65" s="105" t="s">
        <v>164</v>
      </c>
      <c r="D65" s="109">
        <v>0</v>
      </c>
      <c r="E65" s="106"/>
      <c r="F65" s="106"/>
      <c r="G65" s="106"/>
      <c r="H65" s="4"/>
      <c r="I65" s="4"/>
      <c r="J65" s="4"/>
      <c r="K65" s="80"/>
    </row>
    <row r="66" spans="1:11">
      <c r="A66" s="80"/>
      <c r="C66" s="106" t="s">
        <v>172</v>
      </c>
      <c r="D66" s="109">
        <v>0</v>
      </c>
      <c r="E66" s="109">
        <v>0</v>
      </c>
      <c r="F66" s="109">
        <v>0</v>
      </c>
      <c r="G66" s="109">
        <v>0</v>
      </c>
      <c r="H66" s="4"/>
      <c r="I66" s="4"/>
      <c r="J66" s="4"/>
      <c r="K66" s="80"/>
    </row>
    <row r="67" spans="1:11">
      <c r="A67" s="80"/>
      <c r="C67" s="106" t="s">
        <v>173</v>
      </c>
      <c r="D67" s="109">
        <v>0</v>
      </c>
      <c r="E67" s="109">
        <v>0</v>
      </c>
      <c r="F67" s="109">
        <v>0</v>
      </c>
      <c r="G67" s="109">
        <v>0</v>
      </c>
      <c r="H67" s="4"/>
      <c r="I67" s="4"/>
      <c r="J67" s="4"/>
      <c r="K67" s="80"/>
    </row>
    <row r="68" spans="1:11">
      <c r="A68" s="80"/>
      <c r="C68" s="106" t="s">
        <v>174</v>
      </c>
      <c r="D68" s="109">
        <v>0</v>
      </c>
      <c r="E68" s="109">
        <v>0</v>
      </c>
      <c r="F68" s="109"/>
      <c r="G68" s="109"/>
      <c r="H68" s="4"/>
      <c r="I68" s="4"/>
      <c r="J68" s="4"/>
      <c r="K68" s="80"/>
    </row>
    <row r="69" spans="1:11">
      <c r="A69" s="80"/>
      <c r="C69" s="106" t="s">
        <v>177</v>
      </c>
      <c r="D69" s="109">
        <v>0</v>
      </c>
      <c r="E69" s="109"/>
      <c r="F69" s="109"/>
      <c r="G69" s="107">
        <v>-66622</v>
      </c>
      <c r="H69" s="4"/>
      <c r="I69" s="4"/>
      <c r="J69" s="4"/>
      <c r="K69" s="80"/>
    </row>
    <row r="70" spans="1:11">
      <c r="A70" s="80"/>
      <c r="B70" s="43"/>
      <c r="C70" s="111" t="s">
        <v>176</v>
      </c>
      <c r="D70" s="112">
        <v>-60845</v>
      </c>
      <c r="E70" s="112">
        <v>-60845</v>
      </c>
      <c r="F70" s="112">
        <v>-60845</v>
      </c>
      <c r="G70" s="112">
        <v>-127467</v>
      </c>
      <c r="H70" s="104">
        <f t="shared" ref="H70" si="20">SUM(H62:H69)</f>
        <v>-127467</v>
      </c>
      <c r="I70" s="104">
        <f t="shared" ref="I70" si="21">SUM(I62:I69)</f>
        <v>-127467</v>
      </c>
      <c r="J70" s="104">
        <f t="shared" ref="J70" si="22">SUM(J62:J69)</f>
        <v>-127467</v>
      </c>
      <c r="K70" s="80"/>
    </row>
    <row r="71" spans="1:11">
      <c r="A71" s="80"/>
      <c r="C71" s="106"/>
      <c r="D71" s="108"/>
      <c r="E71" s="108"/>
      <c r="F71" s="108"/>
      <c r="G71" s="108"/>
      <c r="H71" s="4"/>
      <c r="I71" s="4"/>
      <c r="J71" s="4"/>
      <c r="K71" s="80"/>
    </row>
    <row r="72" spans="1:11">
      <c r="A72" s="80"/>
      <c r="C72" s="6" t="s">
        <v>170</v>
      </c>
      <c r="H72" s="4"/>
      <c r="I72" s="4"/>
      <c r="J72" s="4"/>
      <c r="K72" s="80"/>
    </row>
    <row r="73" spans="1:11">
      <c r="A73" s="80"/>
      <c r="C73" t="s">
        <v>175</v>
      </c>
      <c r="D73" s="110">
        <v>-409</v>
      </c>
      <c r="E73" s="110">
        <v>-409</v>
      </c>
      <c r="F73" s="110">
        <v>-409</v>
      </c>
      <c r="G73" s="110">
        <v>-409</v>
      </c>
      <c r="H73" s="33">
        <f t="shared" ref="H73:J73" si="23">G81</f>
        <v>-409</v>
      </c>
      <c r="I73" s="33">
        <f t="shared" si="23"/>
        <v>-409</v>
      </c>
      <c r="J73" s="33">
        <f t="shared" si="23"/>
        <v>-409</v>
      </c>
      <c r="K73" s="80"/>
    </row>
    <row r="74" spans="1:11">
      <c r="A74" s="80"/>
      <c r="C74" s="105" t="s">
        <v>21</v>
      </c>
      <c r="D74" s="109">
        <v>0</v>
      </c>
      <c r="E74" s="109">
        <v>0</v>
      </c>
      <c r="F74" s="109">
        <v>0</v>
      </c>
      <c r="G74" s="109">
        <v>0</v>
      </c>
      <c r="H74" s="4"/>
      <c r="I74" s="4"/>
      <c r="J74" s="4"/>
      <c r="K74" s="80"/>
    </row>
    <row r="75" spans="1:11">
      <c r="A75" s="80"/>
      <c r="C75" s="105" t="s">
        <v>163</v>
      </c>
      <c r="D75" s="109">
        <v>0</v>
      </c>
      <c r="E75" s="109">
        <v>0</v>
      </c>
      <c r="F75" s="109">
        <v>0</v>
      </c>
      <c r="G75" s="109">
        <v>0</v>
      </c>
      <c r="H75" s="4"/>
      <c r="I75" s="4"/>
      <c r="J75" s="4"/>
      <c r="K75" s="80"/>
    </row>
    <row r="76" spans="1:11">
      <c r="A76" s="80"/>
      <c r="C76" s="105" t="s">
        <v>164</v>
      </c>
      <c r="D76" s="109">
        <v>0</v>
      </c>
      <c r="E76" s="109">
        <v>0</v>
      </c>
      <c r="F76" s="109">
        <v>0</v>
      </c>
      <c r="G76" s="109">
        <v>0</v>
      </c>
      <c r="H76" s="4"/>
      <c r="I76" s="4"/>
      <c r="J76" s="4"/>
      <c r="K76" s="80"/>
    </row>
    <row r="77" spans="1:11">
      <c r="A77" s="80"/>
      <c r="C77" s="106" t="s">
        <v>172</v>
      </c>
      <c r="D77" s="109">
        <v>0</v>
      </c>
      <c r="E77" s="109">
        <v>0</v>
      </c>
      <c r="F77" s="109">
        <v>0</v>
      </c>
      <c r="G77" s="109">
        <v>0</v>
      </c>
      <c r="H77" s="4"/>
      <c r="I77" s="4"/>
      <c r="J77" s="4"/>
      <c r="K77" s="80"/>
    </row>
    <row r="78" spans="1:11">
      <c r="A78" s="80"/>
      <c r="C78" s="106" t="s">
        <v>173</v>
      </c>
      <c r="D78" s="109">
        <v>0</v>
      </c>
      <c r="E78" s="109">
        <v>0</v>
      </c>
      <c r="F78" s="109">
        <v>0</v>
      </c>
      <c r="G78" s="109">
        <v>0</v>
      </c>
      <c r="H78" s="4"/>
      <c r="I78" s="4"/>
      <c r="J78" s="4"/>
      <c r="K78" s="80"/>
    </row>
    <row r="79" spans="1:11">
      <c r="A79" s="80"/>
      <c r="C79" s="106" t="s">
        <v>174</v>
      </c>
      <c r="D79" s="109">
        <v>0</v>
      </c>
      <c r="E79" s="109">
        <v>0</v>
      </c>
      <c r="F79" s="109">
        <v>0</v>
      </c>
      <c r="G79" s="109">
        <v>0</v>
      </c>
      <c r="H79" s="4"/>
      <c r="I79" s="4"/>
      <c r="J79" s="4"/>
      <c r="K79" s="80"/>
    </row>
    <row r="80" spans="1:11">
      <c r="A80" s="80"/>
      <c r="C80" s="106" t="s">
        <v>177</v>
      </c>
      <c r="D80" s="109">
        <v>0</v>
      </c>
      <c r="E80" s="109">
        <v>0</v>
      </c>
      <c r="F80" s="109">
        <v>0</v>
      </c>
      <c r="G80" s="109">
        <v>0</v>
      </c>
      <c r="H80" s="4"/>
      <c r="I80" s="4"/>
      <c r="J80" s="4"/>
      <c r="K80" s="80"/>
    </row>
    <row r="81" spans="1:11">
      <c r="A81" s="80"/>
      <c r="B81" s="43"/>
      <c r="C81" s="111" t="s">
        <v>176</v>
      </c>
      <c r="D81" s="113">
        <v>-409</v>
      </c>
      <c r="E81" s="113">
        <v>-409</v>
      </c>
      <c r="F81" s="113">
        <v>-409</v>
      </c>
      <c r="G81" s="113">
        <v>-409</v>
      </c>
      <c r="H81" s="104">
        <f t="shared" ref="H81" si="24">SUM(H73:H80)</f>
        <v>-409</v>
      </c>
      <c r="I81" s="104">
        <f t="shared" ref="I81" si="25">SUM(I73:I80)</f>
        <v>-409</v>
      </c>
      <c r="J81" s="104">
        <f t="shared" ref="J81" si="26">SUM(J73:J80)</f>
        <v>-409</v>
      </c>
      <c r="K81" s="80"/>
    </row>
    <row r="82" spans="1:11">
      <c r="A82" s="80"/>
      <c r="C82" s="106"/>
      <c r="D82" s="110"/>
      <c r="E82" s="110"/>
      <c r="F82" s="110"/>
      <c r="G82" s="110"/>
      <c r="H82" s="4"/>
      <c r="I82" s="4"/>
      <c r="J82" s="4"/>
      <c r="K82" s="80"/>
    </row>
    <row r="83" spans="1:11">
      <c r="A83" s="80"/>
      <c r="C83" s="6" t="s">
        <v>171</v>
      </c>
      <c r="H83" s="4"/>
      <c r="I83" s="4"/>
      <c r="J83" s="4"/>
      <c r="K83" s="80"/>
    </row>
    <row r="84" spans="1:11">
      <c r="A84" s="80"/>
      <c r="C84" t="s">
        <v>175</v>
      </c>
      <c r="D84" s="108">
        <v>512990</v>
      </c>
      <c r="E84" s="108">
        <v>711786</v>
      </c>
      <c r="F84" s="108">
        <v>1115388</v>
      </c>
      <c r="G84" s="108">
        <v>1435598</v>
      </c>
      <c r="H84" s="33">
        <f t="shared" ref="H84:J84" si="27">G92</f>
        <v>1417611</v>
      </c>
      <c r="I84" s="33">
        <f t="shared" si="27"/>
        <v>1980876.058806719</v>
      </c>
      <c r="J84" s="33">
        <f t="shared" si="27"/>
        <v>2558300.7411945499</v>
      </c>
      <c r="K84" s="80"/>
    </row>
    <row r="85" spans="1:11">
      <c r="A85" s="80"/>
      <c r="C85" s="105" t="s">
        <v>21</v>
      </c>
      <c r="D85" s="107">
        <v>189580</v>
      </c>
      <c r="E85" s="107">
        <v>430158</v>
      </c>
      <c r="F85" s="107">
        <v>408375</v>
      </c>
      <c r="G85" s="107">
        <v>633125</v>
      </c>
      <c r="H85" s="33">
        <f>'Income Statement'!G19</f>
        <v>563265.05880671903</v>
      </c>
      <c r="I85" s="33">
        <f>'Income Statement'!H19</f>
        <v>577424.68238783092</v>
      </c>
      <c r="J85" s="33">
        <f>'Income Statement'!I19</f>
        <v>619890.91493044107</v>
      </c>
      <c r="K85" s="80"/>
    </row>
    <row r="86" spans="1:11">
      <c r="A86" s="80"/>
      <c r="C86" s="105" t="s">
        <v>163</v>
      </c>
      <c r="D86" s="107">
        <v>18590</v>
      </c>
      <c r="E86" s="107">
        <v>15626</v>
      </c>
      <c r="F86" s="107">
        <v>80561</v>
      </c>
      <c r="G86" s="107">
        <v>6161</v>
      </c>
      <c r="H86" s="4"/>
      <c r="I86" s="4"/>
      <c r="J86" s="4"/>
      <c r="K86" s="80"/>
    </row>
    <row r="87" spans="1:11">
      <c r="A87" s="80"/>
      <c r="C87" s="105" t="s">
        <v>164</v>
      </c>
      <c r="D87" s="109">
        <v>0</v>
      </c>
      <c r="E87" s="106"/>
      <c r="F87" s="106"/>
      <c r="G87" s="106"/>
      <c r="H87" s="4"/>
      <c r="I87" s="4"/>
      <c r="J87" s="4"/>
      <c r="K87" s="80"/>
    </row>
    <row r="88" spans="1:11">
      <c r="A88" s="80"/>
      <c r="C88" s="106" t="s">
        <v>172</v>
      </c>
      <c r="D88" s="107">
        <v>-7141</v>
      </c>
      <c r="E88" s="107">
        <v>-37354</v>
      </c>
      <c r="F88" s="107">
        <v>-150642</v>
      </c>
      <c r="G88" s="107">
        <v>-27452</v>
      </c>
      <c r="H88" s="4"/>
      <c r="I88" s="4"/>
      <c r="J88" s="4"/>
      <c r="K88" s="80"/>
    </row>
    <row r="89" spans="1:11">
      <c r="A89" s="80"/>
      <c r="C89" s="106" t="s">
        <v>173</v>
      </c>
      <c r="D89" s="107">
        <v>-2233</v>
      </c>
      <c r="E89" s="107">
        <v>-4828</v>
      </c>
      <c r="F89" s="107">
        <v>-18084</v>
      </c>
      <c r="G89" s="107">
        <v>-3517</v>
      </c>
      <c r="H89" s="4"/>
      <c r="I89" s="4"/>
      <c r="J89" s="4"/>
      <c r="K89" s="80"/>
    </row>
    <row r="90" spans="1:11">
      <c r="A90" s="80"/>
      <c r="C90" s="106" t="s">
        <v>174</v>
      </c>
      <c r="D90" s="109">
        <v>0</v>
      </c>
      <c r="E90" s="109">
        <v>0</v>
      </c>
      <c r="F90" s="107"/>
      <c r="G90" s="107"/>
      <c r="H90" s="4"/>
      <c r="I90" s="4"/>
      <c r="J90" s="4"/>
      <c r="K90" s="80"/>
    </row>
    <row r="91" spans="1:11">
      <c r="A91" s="80"/>
      <c r="C91" s="106" t="s">
        <v>177</v>
      </c>
      <c r="D91" s="109">
        <v>0</v>
      </c>
      <c r="E91" s="109"/>
      <c r="F91" s="107"/>
      <c r="G91" s="107">
        <v>-626304</v>
      </c>
      <c r="H91" s="4"/>
      <c r="I91" s="4"/>
      <c r="J91" s="4"/>
      <c r="K91" s="80"/>
    </row>
    <row r="92" spans="1:11">
      <c r="A92" s="80"/>
      <c r="B92" s="43"/>
      <c r="C92" s="111" t="s">
        <v>176</v>
      </c>
      <c r="D92" s="112">
        <v>711786</v>
      </c>
      <c r="E92" s="112">
        <v>1115388</v>
      </c>
      <c r="F92" s="112">
        <v>1435598</v>
      </c>
      <c r="G92" s="112">
        <v>1417611</v>
      </c>
      <c r="H92" s="104">
        <f t="shared" ref="H92" si="28">SUM(H84:H91)</f>
        <v>1980876.058806719</v>
      </c>
      <c r="I92" s="104">
        <f t="shared" ref="I92" si="29">SUM(I84:I91)</f>
        <v>2558300.7411945499</v>
      </c>
      <c r="J92" s="104">
        <f t="shared" ref="J92" si="30">SUM(J84:J91)</f>
        <v>3178191.6561249909</v>
      </c>
      <c r="K92" s="80"/>
    </row>
    <row r="93" spans="1:11">
      <c r="A93" s="80"/>
      <c r="H93" s="4"/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</sheetData>
  <mergeCells count="5">
    <mergeCell ref="B2:C2"/>
    <mergeCell ref="B3:C3"/>
    <mergeCell ref="E3:G3"/>
    <mergeCell ref="H3:J3"/>
    <mergeCell ref="B4:C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AEFF9-CEED-4704-AD97-9A55A3D16E5D}">
  <dimension ref="A1:L138"/>
  <sheetViews>
    <sheetView workbookViewId="0">
      <selection activeCell="G66" sqref="G66"/>
    </sheetView>
  </sheetViews>
  <sheetFormatPr defaultColWidth="0" defaultRowHeight="14.4"/>
  <cols>
    <col min="1" max="1" width="3.77734375" customWidth="1"/>
    <col min="2" max="2" width="10.5546875" bestFit="1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178</v>
      </c>
      <c r="C3" s="267"/>
      <c r="D3" s="88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B6" s="207" t="s">
        <v>186</v>
      </c>
      <c r="C6" s="106" t="s">
        <v>448</v>
      </c>
      <c r="D6" s="108"/>
      <c r="E6" s="110"/>
      <c r="F6" s="109"/>
      <c r="G6" s="109"/>
      <c r="H6" s="4"/>
      <c r="I6" s="4"/>
      <c r="J6" s="4"/>
      <c r="K6" s="80"/>
    </row>
    <row r="7" spans="1:11">
      <c r="A7" s="80"/>
      <c r="B7" s="207"/>
      <c r="C7" s="109" t="s">
        <v>145</v>
      </c>
      <c r="D7" s="108"/>
      <c r="E7" s="108">
        <f t="shared" ref="E7:J7" si="1">D10</f>
        <v>125000</v>
      </c>
      <c r="F7" s="107">
        <f t="shared" si="1"/>
        <v>0</v>
      </c>
      <c r="G7" s="107">
        <f t="shared" si="1"/>
        <v>0</v>
      </c>
      <c r="H7" s="33">
        <f t="shared" si="1"/>
        <v>0</v>
      </c>
      <c r="I7" s="33">
        <f t="shared" si="1"/>
        <v>0</v>
      </c>
      <c r="J7" s="33">
        <f t="shared" si="1"/>
        <v>0</v>
      </c>
      <c r="K7" s="80"/>
    </row>
    <row r="8" spans="1:11">
      <c r="A8" s="80"/>
      <c r="B8" s="207"/>
      <c r="C8" s="109" t="s">
        <v>455</v>
      </c>
      <c r="D8" s="108"/>
      <c r="E8" s="110">
        <f t="shared" ref="E8:G8" si="2">IF((E10-E7)&gt;0,E10-E7,0)</f>
        <v>0</v>
      </c>
      <c r="F8" s="109">
        <f t="shared" si="2"/>
        <v>0</v>
      </c>
      <c r="G8" s="109">
        <f t="shared" si="2"/>
        <v>0</v>
      </c>
      <c r="H8" s="4"/>
      <c r="I8" s="4"/>
      <c r="J8" s="4"/>
      <c r="K8" s="80"/>
    </row>
    <row r="9" spans="1:11">
      <c r="A9" s="80"/>
      <c r="B9" s="207"/>
      <c r="C9" s="109" t="s">
        <v>456</v>
      </c>
      <c r="D9" s="108"/>
      <c r="E9" s="110">
        <f t="shared" ref="E9:G9" si="3">IF((E10-E7)&lt;0,E10-E7,0)</f>
        <v>-125000</v>
      </c>
      <c r="F9" s="109">
        <f t="shared" si="3"/>
        <v>0</v>
      </c>
      <c r="G9" s="109">
        <f t="shared" si="3"/>
        <v>0</v>
      </c>
      <c r="H9" s="4"/>
      <c r="I9" s="4"/>
      <c r="J9" s="4"/>
      <c r="K9" s="80"/>
    </row>
    <row r="10" spans="1:11">
      <c r="A10" s="80"/>
      <c r="B10" s="207"/>
      <c r="C10" s="213" t="s">
        <v>148</v>
      </c>
      <c r="D10" s="216">
        <v>125000</v>
      </c>
      <c r="E10" s="217">
        <v>0</v>
      </c>
      <c r="F10" s="218">
        <v>0</v>
      </c>
      <c r="G10" s="218">
        <v>0</v>
      </c>
      <c r="H10" s="221">
        <f t="shared" ref="H10:J10" si="4">SUM(H7:H9)</f>
        <v>0</v>
      </c>
      <c r="I10" s="221">
        <f t="shared" si="4"/>
        <v>0</v>
      </c>
      <c r="J10" s="221">
        <f t="shared" si="4"/>
        <v>0</v>
      </c>
      <c r="K10" s="80"/>
    </row>
    <row r="11" spans="1:11">
      <c r="A11" s="80"/>
      <c r="B11" s="207"/>
      <c r="C11" s="188" t="s">
        <v>457</v>
      </c>
      <c r="D11" s="214">
        <f t="shared" ref="D11:J11" si="5">D10*D12</f>
        <v>4100</v>
      </c>
      <c r="E11" s="215">
        <f t="shared" si="5"/>
        <v>0</v>
      </c>
      <c r="F11" s="208">
        <f t="shared" si="5"/>
        <v>0</v>
      </c>
      <c r="G11" s="208">
        <f t="shared" si="5"/>
        <v>0</v>
      </c>
      <c r="H11" s="212">
        <f t="shared" si="5"/>
        <v>0</v>
      </c>
      <c r="I11" s="212">
        <f t="shared" si="5"/>
        <v>0</v>
      </c>
      <c r="J11" s="212">
        <f t="shared" si="5"/>
        <v>0</v>
      </c>
      <c r="K11" s="80"/>
    </row>
    <row r="12" spans="1:11">
      <c r="A12" s="80"/>
      <c r="B12" s="211"/>
      <c r="C12" s="206" t="s">
        <v>185</v>
      </c>
      <c r="D12" s="209">
        <v>3.2800000000000003E-2</v>
      </c>
      <c r="E12" s="209">
        <v>3.2800000000000003E-2</v>
      </c>
      <c r="F12" s="210">
        <v>0</v>
      </c>
      <c r="G12" s="210">
        <v>0</v>
      </c>
      <c r="H12" s="225">
        <f t="shared" ref="H12:J12" si="6">G12</f>
        <v>0</v>
      </c>
      <c r="I12" s="225">
        <f t="shared" si="6"/>
        <v>0</v>
      </c>
      <c r="J12" s="225">
        <f t="shared" si="6"/>
        <v>0</v>
      </c>
      <c r="K12" s="80"/>
    </row>
    <row r="13" spans="1:11">
      <c r="A13" s="80"/>
      <c r="B13" s="211"/>
      <c r="C13" s="206"/>
      <c r="D13" s="209"/>
      <c r="E13" s="209"/>
      <c r="F13" s="210"/>
      <c r="G13" s="210"/>
      <c r="H13" s="4"/>
      <c r="I13" s="4"/>
      <c r="J13" s="4"/>
      <c r="K13" s="80"/>
    </row>
    <row r="14" spans="1:11">
      <c r="A14" s="80"/>
      <c r="B14" s="207" t="s">
        <v>179</v>
      </c>
      <c r="C14" s="106" t="s">
        <v>452</v>
      </c>
      <c r="H14" s="4"/>
      <c r="I14" s="4"/>
      <c r="J14" s="4"/>
      <c r="K14" s="80"/>
    </row>
    <row r="15" spans="1:11">
      <c r="A15" s="80"/>
      <c r="B15" s="207"/>
      <c r="C15" s="109" t="s">
        <v>145</v>
      </c>
      <c r="D15" s="107"/>
      <c r="E15" s="108">
        <f t="shared" ref="E15:J15" si="7">D18</f>
        <v>350000</v>
      </c>
      <c r="F15" s="107">
        <f t="shared" si="7"/>
        <v>350000</v>
      </c>
      <c r="G15" s="107">
        <f t="shared" si="7"/>
        <v>350000</v>
      </c>
      <c r="H15" s="33">
        <f t="shared" si="7"/>
        <v>350000</v>
      </c>
      <c r="I15" s="33">
        <f t="shared" si="7"/>
        <v>0</v>
      </c>
      <c r="J15" s="33">
        <f t="shared" si="7"/>
        <v>0</v>
      </c>
      <c r="K15" s="80"/>
    </row>
    <row r="16" spans="1:11">
      <c r="A16" s="80"/>
      <c r="B16" s="207"/>
      <c r="C16" s="109" t="s">
        <v>455</v>
      </c>
      <c r="D16" s="107"/>
      <c r="E16" s="110">
        <f t="shared" ref="E16" si="8">IF((E18-E15)&gt;0,E18-E15,0)</f>
        <v>0</v>
      </c>
      <c r="F16" s="109">
        <f t="shared" ref="F16" si="9">IF((F18-F15)&gt;0,F18-F15,0)</f>
        <v>0</v>
      </c>
      <c r="G16" s="109">
        <f t="shared" ref="G16" si="10">IF((G18-G15)&gt;0,G18-G15,0)</f>
        <v>0</v>
      </c>
      <c r="H16" s="4"/>
      <c r="I16" s="4"/>
      <c r="J16" s="4"/>
      <c r="K16" s="80"/>
    </row>
    <row r="17" spans="1:11">
      <c r="A17" s="80"/>
      <c r="B17" s="207"/>
      <c r="C17" s="109" t="s">
        <v>456</v>
      </c>
      <c r="D17" s="107"/>
      <c r="E17" s="110">
        <f t="shared" ref="E17" si="11">IF((E18-E15)&lt;0,E18-E15,0)</f>
        <v>0</v>
      </c>
      <c r="F17" s="109">
        <f t="shared" ref="F17" si="12">IF((F18-F15)&lt;0,F18-F15,0)</f>
        <v>0</v>
      </c>
      <c r="G17" s="109">
        <f t="shared" ref="G17" si="13">IF((G18-G15)&lt;0,G18-G15,0)</f>
        <v>0</v>
      </c>
      <c r="H17" s="33">
        <f>-H15</f>
        <v>-350000</v>
      </c>
      <c r="I17" s="4"/>
      <c r="J17" s="4"/>
      <c r="K17" s="80"/>
    </row>
    <row r="18" spans="1:11">
      <c r="A18" s="80"/>
      <c r="B18" s="207"/>
      <c r="C18" s="213" t="s">
        <v>148</v>
      </c>
      <c r="D18" s="219">
        <v>350000</v>
      </c>
      <c r="E18" s="219">
        <v>350000</v>
      </c>
      <c r="F18" s="216">
        <v>350000</v>
      </c>
      <c r="G18" s="216">
        <v>350000</v>
      </c>
      <c r="H18" s="221">
        <f t="shared" ref="H18" si="14">SUM(H15:H17)</f>
        <v>0</v>
      </c>
      <c r="I18" s="221">
        <f t="shared" ref="I18" si="15">SUM(I15:I17)</f>
        <v>0</v>
      </c>
      <c r="J18" s="221">
        <f t="shared" ref="J18" si="16">SUM(J15:J17)</f>
        <v>0</v>
      </c>
      <c r="K18" s="80"/>
    </row>
    <row r="19" spans="1:11">
      <c r="A19" s="80"/>
      <c r="B19" s="207"/>
      <c r="C19" s="188" t="s">
        <v>457</v>
      </c>
      <c r="D19" s="214">
        <f t="shared" ref="D19" si="17">D18*D20</f>
        <v>13300</v>
      </c>
      <c r="E19" s="215">
        <f t="shared" ref="E19" si="18">E18*E20</f>
        <v>13300</v>
      </c>
      <c r="F19" s="208">
        <f t="shared" ref="F19" si="19">F18*F20</f>
        <v>13300</v>
      </c>
      <c r="G19" s="208">
        <f t="shared" ref="G19" si="20">G18*G20</f>
        <v>13300</v>
      </c>
      <c r="H19" s="212">
        <f t="shared" ref="H19" si="21">H18*H20</f>
        <v>0</v>
      </c>
      <c r="I19" s="212">
        <f t="shared" ref="I19" si="22">I18*I20</f>
        <v>0</v>
      </c>
      <c r="J19" s="212">
        <f t="shared" ref="J19" si="23">J18*J20</f>
        <v>0</v>
      </c>
      <c r="K19" s="80"/>
    </row>
    <row r="20" spans="1:11">
      <c r="A20" s="80"/>
      <c r="B20" s="211"/>
      <c r="C20" s="206" t="s">
        <v>185</v>
      </c>
      <c r="D20" s="209">
        <v>3.7999999999999999E-2</v>
      </c>
      <c r="E20" s="209">
        <v>3.7999999999999999E-2</v>
      </c>
      <c r="F20" s="209">
        <v>3.7999999999999999E-2</v>
      </c>
      <c r="G20" s="209">
        <v>3.7999999999999999E-2</v>
      </c>
      <c r="H20" s="201">
        <f t="shared" ref="H20:J20" si="24">G20</f>
        <v>3.7999999999999999E-2</v>
      </c>
      <c r="I20" s="201">
        <f t="shared" si="24"/>
        <v>3.7999999999999999E-2</v>
      </c>
      <c r="J20" s="201">
        <f t="shared" si="24"/>
        <v>3.7999999999999999E-2</v>
      </c>
      <c r="K20" s="80"/>
    </row>
    <row r="21" spans="1:11">
      <c r="A21" s="80"/>
      <c r="B21" s="211"/>
      <c r="C21" s="206"/>
      <c r="D21" s="209"/>
      <c r="E21" s="209"/>
      <c r="F21" s="209"/>
      <c r="G21" s="209"/>
      <c r="H21" s="4"/>
      <c r="I21" s="4"/>
      <c r="J21" s="4"/>
      <c r="K21" s="80"/>
    </row>
    <row r="22" spans="1:11">
      <c r="A22" s="80"/>
      <c r="B22" s="207">
        <v>46305</v>
      </c>
      <c r="C22" s="105" t="s">
        <v>180</v>
      </c>
      <c r="H22" s="4"/>
      <c r="I22" s="4"/>
      <c r="J22" s="4"/>
      <c r="K22" s="80"/>
    </row>
    <row r="23" spans="1:11">
      <c r="A23" s="80"/>
      <c r="B23" s="207"/>
      <c r="C23" s="109" t="s">
        <v>145</v>
      </c>
      <c r="D23" s="107"/>
      <c r="E23" s="108">
        <f t="shared" ref="E23:J23" si="25">D26</f>
        <v>100000</v>
      </c>
      <c r="F23" s="107">
        <f t="shared" si="25"/>
        <v>100000</v>
      </c>
      <c r="G23" s="107">
        <f t="shared" si="25"/>
        <v>100000</v>
      </c>
      <c r="H23" s="33">
        <f t="shared" si="25"/>
        <v>100000</v>
      </c>
      <c r="I23" s="33">
        <f t="shared" si="25"/>
        <v>100000</v>
      </c>
      <c r="J23" s="33">
        <f t="shared" si="25"/>
        <v>0</v>
      </c>
      <c r="K23" s="80"/>
    </row>
    <row r="24" spans="1:11">
      <c r="A24" s="80"/>
      <c r="B24" s="207"/>
      <c r="C24" s="109" t="s">
        <v>455</v>
      </c>
      <c r="D24" s="107"/>
      <c r="E24" s="110">
        <f t="shared" ref="E24" si="26">IF((E26-E23)&gt;0,E26-E23,0)</f>
        <v>0</v>
      </c>
      <c r="F24" s="109">
        <f t="shared" ref="F24" si="27">IF((F26-F23)&gt;0,F26-F23,0)</f>
        <v>0</v>
      </c>
      <c r="G24" s="109">
        <f t="shared" ref="G24" si="28">IF((G26-G23)&gt;0,G26-G23,0)</f>
        <v>0</v>
      </c>
      <c r="H24" s="4"/>
      <c r="I24" s="4"/>
      <c r="J24" s="4"/>
      <c r="K24" s="80"/>
    </row>
    <row r="25" spans="1:11">
      <c r="A25" s="80"/>
      <c r="B25" s="207"/>
      <c r="C25" s="109" t="s">
        <v>456</v>
      </c>
      <c r="D25" s="107"/>
      <c r="E25" s="110">
        <f t="shared" ref="E25" si="29">IF((E26-E23)&lt;0,E26-E23,0)</f>
        <v>0</v>
      </c>
      <c r="F25" s="109">
        <f t="shared" ref="F25" si="30">IF((F26-F23)&lt;0,F26-F23,0)</f>
        <v>0</v>
      </c>
      <c r="G25" s="109">
        <f t="shared" ref="G25" si="31">IF((G26-G23)&lt;0,G26-G23,0)</f>
        <v>0</v>
      </c>
      <c r="H25" s="4"/>
      <c r="I25" s="33">
        <f>-I23</f>
        <v>-100000</v>
      </c>
      <c r="J25" s="4"/>
      <c r="K25" s="80"/>
    </row>
    <row r="26" spans="1:11">
      <c r="A26" s="80"/>
      <c r="B26" s="207"/>
      <c r="C26" s="213" t="s">
        <v>148</v>
      </c>
      <c r="D26" s="219">
        <v>100000</v>
      </c>
      <c r="E26" s="219">
        <v>100000</v>
      </c>
      <c r="F26" s="219">
        <v>100000</v>
      </c>
      <c r="G26" s="219">
        <v>100000</v>
      </c>
      <c r="H26" s="221">
        <f t="shared" ref="H26" si="32">SUM(H23:H25)</f>
        <v>100000</v>
      </c>
      <c r="I26" s="221">
        <f t="shared" ref="I26" si="33">SUM(I23:I25)</f>
        <v>0</v>
      </c>
      <c r="J26" s="221">
        <f t="shared" ref="J26" si="34">SUM(J23:J25)</f>
        <v>0</v>
      </c>
      <c r="K26" s="80"/>
    </row>
    <row r="27" spans="1:11">
      <c r="A27" s="80"/>
      <c r="B27" s="207"/>
      <c r="C27" s="188" t="s">
        <v>457</v>
      </c>
      <c r="D27" s="214">
        <f t="shared" ref="D27" si="35">D26*D28</f>
        <v>3930</v>
      </c>
      <c r="E27" s="215">
        <f t="shared" ref="E27" si="36">E26*E28</f>
        <v>3930</v>
      </c>
      <c r="F27" s="208">
        <f t="shared" ref="F27" si="37">F26*F28</f>
        <v>3930</v>
      </c>
      <c r="G27" s="208">
        <f t="shared" ref="G27" si="38">G26*G28</f>
        <v>3930</v>
      </c>
      <c r="H27" s="212">
        <f t="shared" ref="H27" si="39">H26*H28</f>
        <v>3930</v>
      </c>
      <c r="I27" s="212">
        <f t="shared" ref="I27" si="40">I26*I28</f>
        <v>0</v>
      </c>
      <c r="J27" s="212">
        <f t="shared" ref="J27" si="41">J26*J28</f>
        <v>0</v>
      </c>
      <c r="K27" s="80"/>
    </row>
    <row r="28" spans="1:11">
      <c r="A28" s="80"/>
      <c r="B28" s="211"/>
      <c r="C28" s="206" t="s">
        <v>185</v>
      </c>
      <c r="D28" s="209">
        <v>3.9300000000000002E-2</v>
      </c>
      <c r="E28" s="209">
        <v>3.9300000000000002E-2</v>
      </c>
      <c r="F28" s="209">
        <v>3.9300000000000002E-2</v>
      </c>
      <c r="G28" s="209">
        <v>3.9300000000000002E-2</v>
      </c>
      <c r="H28" s="201">
        <f t="shared" ref="H28:J28" si="42">G28</f>
        <v>3.9300000000000002E-2</v>
      </c>
      <c r="I28" s="201">
        <f t="shared" si="42"/>
        <v>3.9300000000000002E-2</v>
      </c>
      <c r="J28" s="201">
        <f t="shared" si="42"/>
        <v>3.9300000000000002E-2</v>
      </c>
      <c r="K28" s="80"/>
    </row>
    <row r="29" spans="1:11">
      <c r="A29" s="80"/>
      <c r="B29" s="211"/>
      <c r="C29" s="206"/>
      <c r="D29" s="209"/>
      <c r="E29" s="209"/>
      <c r="F29" s="209"/>
      <c r="G29" s="209"/>
      <c r="H29" s="4"/>
      <c r="I29" s="4"/>
      <c r="J29" s="4"/>
      <c r="K29" s="80"/>
    </row>
    <row r="30" spans="1:11">
      <c r="A30" s="80"/>
      <c r="B30" s="207">
        <v>47124</v>
      </c>
      <c r="C30" s="106" t="s">
        <v>451</v>
      </c>
      <c r="H30" s="4"/>
      <c r="I30" s="4"/>
      <c r="J30" s="4"/>
      <c r="K30" s="80"/>
    </row>
    <row r="31" spans="1:11">
      <c r="A31" s="80"/>
      <c r="B31" s="207"/>
      <c r="C31" s="109" t="s">
        <v>145</v>
      </c>
      <c r="D31" s="107"/>
      <c r="E31" s="108">
        <f t="shared" ref="E31:J31" si="43">D34</f>
        <v>0</v>
      </c>
      <c r="F31" s="107">
        <f t="shared" si="43"/>
        <v>0</v>
      </c>
      <c r="G31" s="107">
        <f t="shared" si="43"/>
        <v>0</v>
      </c>
      <c r="H31" s="33">
        <f t="shared" si="43"/>
        <v>700000</v>
      </c>
      <c r="I31" s="33">
        <f t="shared" si="43"/>
        <v>700000</v>
      </c>
      <c r="J31" s="33">
        <f t="shared" si="43"/>
        <v>700000</v>
      </c>
      <c r="K31" s="80"/>
    </row>
    <row r="32" spans="1:11">
      <c r="A32" s="80"/>
      <c r="B32" s="207"/>
      <c r="C32" s="109" t="s">
        <v>455</v>
      </c>
      <c r="D32" s="107"/>
      <c r="E32" s="110">
        <f t="shared" ref="E32" si="44">IF((E34-E31)&gt;0,E34-E31,0)</f>
        <v>0</v>
      </c>
      <c r="F32" s="109">
        <f t="shared" ref="F32" si="45">IF((F34-F31)&gt;0,F34-F31,0)</f>
        <v>0</v>
      </c>
      <c r="G32" s="109">
        <f t="shared" ref="G32" si="46">IF((G34-G31)&gt;0,G34-G31,0)</f>
        <v>700000</v>
      </c>
      <c r="H32" s="4"/>
      <c r="I32" s="4"/>
      <c r="J32" s="4"/>
      <c r="K32" s="80"/>
    </row>
    <row r="33" spans="1:11">
      <c r="A33" s="80"/>
      <c r="B33" s="207"/>
      <c r="C33" s="109" t="s">
        <v>456</v>
      </c>
      <c r="D33" s="107"/>
      <c r="E33" s="110">
        <f t="shared" ref="E33" si="47">IF((E34-E31)&lt;0,E34-E31,0)</f>
        <v>0</v>
      </c>
      <c r="F33" s="109">
        <f t="shared" ref="F33" si="48">IF((F34-F31)&lt;0,F34-F31,0)</f>
        <v>0</v>
      </c>
      <c r="G33" s="109">
        <f t="shared" ref="G33" si="49">IF((G34-G31)&lt;0,G34-G31,0)</f>
        <v>0</v>
      </c>
      <c r="H33" s="4"/>
      <c r="I33" s="4"/>
      <c r="J33" s="4"/>
      <c r="K33" s="80"/>
    </row>
    <row r="34" spans="1:11">
      <c r="A34" s="80"/>
      <c r="B34" s="207"/>
      <c r="C34" s="213" t="s">
        <v>148</v>
      </c>
      <c r="D34" s="219">
        <v>0</v>
      </c>
      <c r="E34" s="219">
        <v>0</v>
      </c>
      <c r="F34" s="218">
        <v>0</v>
      </c>
      <c r="G34" s="219">
        <v>700000</v>
      </c>
      <c r="H34" s="221">
        <f t="shared" ref="H34" si="50">SUM(H31:H33)</f>
        <v>700000</v>
      </c>
      <c r="I34" s="221">
        <f t="shared" ref="I34" si="51">SUM(I31:I33)</f>
        <v>700000</v>
      </c>
      <c r="J34" s="221">
        <f t="shared" ref="J34" si="52">SUM(J31:J33)</f>
        <v>700000</v>
      </c>
      <c r="K34" s="80"/>
    </row>
    <row r="35" spans="1:11">
      <c r="A35" s="80"/>
      <c r="B35" s="207"/>
      <c r="C35" s="188" t="s">
        <v>457</v>
      </c>
      <c r="D35" s="214">
        <f t="shared" ref="D35" si="53">D34*D36</f>
        <v>0</v>
      </c>
      <c r="E35" s="215">
        <f t="shared" ref="E35" si="54">E34*E36</f>
        <v>0</v>
      </c>
      <c r="F35" s="208">
        <f t="shared" ref="F35" si="55">F34*F36</f>
        <v>0</v>
      </c>
      <c r="G35" s="208">
        <f t="shared" ref="G35" si="56">G34*G36</f>
        <v>36750</v>
      </c>
      <c r="H35" s="212">
        <f t="shared" ref="H35" si="57">H34*H36</f>
        <v>36750</v>
      </c>
      <c r="I35" s="212">
        <f t="shared" ref="I35" si="58">I34*I36</f>
        <v>36750</v>
      </c>
      <c r="J35" s="212">
        <f t="shared" ref="J35" si="59">J34*J36</f>
        <v>36750</v>
      </c>
      <c r="K35" s="80"/>
    </row>
    <row r="36" spans="1:11">
      <c r="A36" s="80"/>
      <c r="B36" s="211"/>
      <c r="C36" s="206" t="s">
        <v>185</v>
      </c>
      <c r="D36" s="210">
        <v>0</v>
      </c>
      <c r="E36" s="210">
        <v>0</v>
      </c>
      <c r="F36" s="209">
        <v>5.2499999999999998E-2</v>
      </c>
      <c r="G36" s="209">
        <v>5.2499999999999998E-2</v>
      </c>
      <c r="H36" s="201">
        <f t="shared" ref="H36:J36" si="60">G36</f>
        <v>5.2499999999999998E-2</v>
      </c>
      <c r="I36" s="201">
        <f t="shared" si="60"/>
        <v>5.2499999999999998E-2</v>
      </c>
      <c r="J36" s="201">
        <f t="shared" si="60"/>
        <v>5.2499999999999998E-2</v>
      </c>
      <c r="K36" s="80"/>
    </row>
    <row r="37" spans="1:11">
      <c r="A37" s="80"/>
      <c r="B37" s="211"/>
      <c r="C37" s="206"/>
      <c r="D37" s="210"/>
      <c r="E37" s="210"/>
      <c r="F37" s="209"/>
      <c r="G37" s="209"/>
      <c r="H37" s="4"/>
      <c r="I37" s="4"/>
      <c r="J37" s="4"/>
      <c r="K37" s="80"/>
    </row>
    <row r="38" spans="1:11">
      <c r="A38" s="80"/>
      <c r="B38" s="207" t="s">
        <v>181</v>
      </c>
      <c r="C38" s="105" t="s">
        <v>180</v>
      </c>
      <c r="H38" s="4"/>
      <c r="I38" s="4"/>
      <c r="J38" s="4"/>
      <c r="K38" s="80"/>
    </row>
    <row r="39" spans="1:11">
      <c r="A39" s="80"/>
      <c r="B39" s="207"/>
      <c r="C39" s="109" t="s">
        <v>145</v>
      </c>
      <c r="D39" s="107"/>
      <c r="E39" s="108">
        <f t="shared" ref="E39:J39" si="61">D42</f>
        <v>150000</v>
      </c>
      <c r="F39" s="107">
        <f t="shared" si="61"/>
        <v>150000</v>
      </c>
      <c r="G39" s="107">
        <f t="shared" si="61"/>
        <v>150000</v>
      </c>
      <c r="H39" s="33">
        <f t="shared" si="61"/>
        <v>150000</v>
      </c>
      <c r="I39" s="33">
        <f t="shared" si="61"/>
        <v>150000</v>
      </c>
      <c r="J39" s="33">
        <f t="shared" si="61"/>
        <v>150000</v>
      </c>
      <c r="K39" s="80"/>
    </row>
    <row r="40" spans="1:11">
      <c r="A40" s="80"/>
      <c r="B40" s="207"/>
      <c r="C40" s="109" t="s">
        <v>455</v>
      </c>
      <c r="D40" s="107"/>
      <c r="E40" s="110">
        <f t="shared" ref="E40" si="62">IF((E42-E39)&gt;0,E42-E39,0)</f>
        <v>0</v>
      </c>
      <c r="F40" s="109">
        <f t="shared" ref="F40" si="63">IF((F42-F39)&gt;0,F42-F39,0)</f>
        <v>0</v>
      </c>
      <c r="G40" s="109">
        <f t="shared" ref="G40" si="64">IF((G42-G39)&gt;0,G42-G39,0)</f>
        <v>0</v>
      </c>
      <c r="H40" s="4"/>
      <c r="I40" s="4"/>
      <c r="J40" s="4"/>
      <c r="K40" s="80"/>
    </row>
    <row r="41" spans="1:11">
      <c r="A41" s="80"/>
      <c r="B41" s="207"/>
      <c r="C41" s="109" t="s">
        <v>456</v>
      </c>
      <c r="D41" s="107"/>
      <c r="E41" s="110">
        <f t="shared" ref="E41" si="65">IF((E42-E39)&lt;0,E42-E39,0)</f>
        <v>0</v>
      </c>
      <c r="F41" s="109">
        <f t="shared" ref="F41" si="66">IF((F42-F39)&lt;0,F42-F39,0)</f>
        <v>0</v>
      </c>
      <c r="G41" s="109">
        <f t="shared" ref="G41" si="67">IF((G42-G39)&lt;0,G42-G39,0)</f>
        <v>0</v>
      </c>
      <c r="H41" s="4"/>
      <c r="I41" s="4"/>
      <c r="J41" s="4"/>
      <c r="K41" s="80"/>
    </row>
    <row r="42" spans="1:11">
      <c r="A42" s="80"/>
      <c r="B42" s="207"/>
      <c r="C42" s="213" t="s">
        <v>148</v>
      </c>
      <c r="D42" s="219">
        <v>150000</v>
      </c>
      <c r="E42" s="219">
        <v>150000</v>
      </c>
      <c r="F42" s="219">
        <v>150000</v>
      </c>
      <c r="G42" s="219">
        <v>150000</v>
      </c>
      <c r="H42" s="221">
        <f t="shared" ref="H42" si="68">SUM(H39:H41)</f>
        <v>150000</v>
      </c>
      <c r="I42" s="221">
        <f t="shared" ref="I42" si="69">SUM(I39:I41)</f>
        <v>150000</v>
      </c>
      <c r="J42" s="221">
        <f t="shared" ref="J42" si="70">SUM(J39:J41)</f>
        <v>150000</v>
      </c>
      <c r="K42" s="80"/>
    </row>
    <row r="43" spans="1:11">
      <c r="A43" s="80"/>
      <c r="B43" s="207"/>
      <c r="C43" s="188" t="s">
        <v>457</v>
      </c>
      <c r="D43" s="214">
        <f t="shared" ref="D43" si="71">D42*D44</f>
        <v>5940.0000000000009</v>
      </c>
      <c r="E43" s="215">
        <f t="shared" ref="E43" si="72">E42*E44</f>
        <v>5940.0000000000009</v>
      </c>
      <c r="F43" s="208">
        <f t="shared" ref="F43" si="73">F42*F44</f>
        <v>5940.0000000000009</v>
      </c>
      <c r="G43" s="208">
        <f t="shared" ref="G43" si="74">G42*G44</f>
        <v>5940.0000000000009</v>
      </c>
      <c r="H43" s="212">
        <f t="shared" ref="H43" si="75">H42*H44</f>
        <v>5940.0000000000009</v>
      </c>
      <c r="I43" s="212">
        <f t="shared" ref="I43" si="76">I42*I44</f>
        <v>5940.0000000000009</v>
      </c>
      <c r="J43" s="212">
        <f t="shared" ref="J43" si="77">J42*J44</f>
        <v>5940.0000000000009</v>
      </c>
      <c r="K43" s="80"/>
    </row>
    <row r="44" spans="1:11">
      <c r="A44" s="80"/>
      <c r="B44" s="211"/>
      <c r="C44" s="206" t="s">
        <v>185</v>
      </c>
      <c r="D44" s="209">
        <v>3.9600000000000003E-2</v>
      </c>
      <c r="E44" s="209">
        <v>3.9600000000000003E-2</v>
      </c>
      <c r="F44" s="209">
        <v>3.9600000000000003E-2</v>
      </c>
      <c r="G44" s="209">
        <v>3.9600000000000003E-2</v>
      </c>
      <c r="H44" s="201">
        <f t="shared" ref="H44:J44" si="78">G44</f>
        <v>3.9600000000000003E-2</v>
      </c>
      <c r="I44" s="201">
        <f t="shared" si="78"/>
        <v>3.9600000000000003E-2</v>
      </c>
      <c r="J44" s="201">
        <f t="shared" si="78"/>
        <v>3.9600000000000003E-2</v>
      </c>
      <c r="K44" s="80"/>
    </row>
    <row r="45" spans="1:11">
      <c r="A45" s="80"/>
      <c r="B45" s="211"/>
      <c r="C45" s="206"/>
      <c r="D45" s="209"/>
      <c r="E45" s="209"/>
      <c r="F45" s="209"/>
      <c r="G45" s="209"/>
      <c r="H45" s="4"/>
      <c r="I45" s="4"/>
      <c r="J45" s="4"/>
      <c r="K45" s="80"/>
    </row>
    <row r="46" spans="1:11">
      <c r="A46" s="80"/>
      <c r="B46" s="207">
        <v>48950</v>
      </c>
      <c r="C46" s="106" t="s">
        <v>450</v>
      </c>
      <c r="H46" s="4"/>
      <c r="I46" s="4"/>
      <c r="J46" s="4"/>
      <c r="K46" s="80"/>
    </row>
    <row r="47" spans="1:11">
      <c r="A47" s="80"/>
      <c r="B47" s="207"/>
      <c r="C47" s="109" t="s">
        <v>145</v>
      </c>
      <c r="E47" s="108">
        <f t="shared" ref="E47:J47" si="79">D50</f>
        <v>0</v>
      </c>
      <c r="F47" s="107">
        <f t="shared" si="79"/>
        <v>0</v>
      </c>
      <c r="G47" s="107">
        <f t="shared" si="79"/>
        <v>0</v>
      </c>
      <c r="H47" s="33">
        <f t="shared" si="79"/>
        <v>500000</v>
      </c>
      <c r="I47" s="33">
        <f t="shared" si="79"/>
        <v>500000</v>
      </c>
      <c r="J47" s="33">
        <f t="shared" si="79"/>
        <v>500000</v>
      </c>
      <c r="K47" s="80"/>
    </row>
    <row r="48" spans="1:11">
      <c r="A48" s="80"/>
      <c r="B48" s="207"/>
      <c r="C48" s="109" t="s">
        <v>455</v>
      </c>
      <c r="E48" s="110">
        <f t="shared" ref="E48" si="80">IF((E50-E47)&gt;0,E50-E47,0)</f>
        <v>0</v>
      </c>
      <c r="F48" s="109">
        <f t="shared" ref="F48" si="81">IF((F50-F47)&gt;0,F50-F47,0)</f>
        <v>0</v>
      </c>
      <c r="G48" s="109">
        <f t="shared" ref="G48" si="82">IF((G50-G47)&gt;0,G50-G47,0)</f>
        <v>500000</v>
      </c>
      <c r="H48" s="4"/>
      <c r="I48" s="4"/>
      <c r="J48" s="4"/>
      <c r="K48" s="80"/>
    </row>
    <row r="49" spans="1:11">
      <c r="A49" s="80"/>
      <c r="B49" s="207"/>
      <c r="C49" s="109" t="s">
        <v>456</v>
      </c>
      <c r="E49" s="110">
        <f t="shared" ref="E49" si="83">IF((E50-E47)&lt;0,E50-E47,0)</f>
        <v>0</v>
      </c>
      <c r="F49" s="109">
        <f t="shared" ref="F49" si="84">IF((F50-F47)&lt;0,F50-F47,0)</f>
        <v>0</v>
      </c>
      <c r="G49" s="109">
        <f t="shared" ref="G49" si="85">IF((G50-G47)&lt;0,G50-G47,0)</f>
        <v>0</v>
      </c>
      <c r="H49" s="4"/>
      <c r="I49" s="4"/>
      <c r="J49" s="4"/>
      <c r="K49" s="80"/>
    </row>
    <row r="50" spans="1:11">
      <c r="A50" s="80"/>
      <c r="B50" s="207"/>
      <c r="C50" s="213" t="s">
        <v>148</v>
      </c>
      <c r="D50" s="187">
        <v>0</v>
      </c>
      <c r="E50" s="187">
        <v>0</v>
      </c>
      <c r="F50" s="218">
        <v>0</v>
      </c>
      <c r="G50" s="219">
        <v>500000</v>
      </c>
      <c r="H50" s="221">
        <f t="shared" ref="H50" si="86">SUM(H47:H49)</f>
        <v>500000</v>
      </c>
      <c r="I50" s="221">
        <f t="shared" ref="I50" si="87">SUM(I47:I49)</f>
        <v>500000</v>
      </c>
      <c r="J50" s="221">
        <f t="shared" ref="J50" si="88">SUM(J47:J49)</f>
        <v>500000</v>
      </c>
      <c r="K50" s="80"/>
    </row>
    <row r="51" spans="1:11">
      <c r="A51" s="80"/>
      <c r="B51" s="207"/>
      <c r="C51" s="188" t="s">
        <v>457</v>
      </c>
      <c r="D51" s="214">
        <f t="shared" ref="D51" si="89">D50*D52</f>
        <v>0</v>
      </c>
      <c r="E51" s="215">
        <f t="shared" ref="E51" si="90">E50*E52</f>
        <v>0</v>
      </c>
      <c r="F51" s="208">
        <f t="shared" ref="F51" si="91">F50*F52</f>
        <v>0</v>
      </c>
      <c r="G51" s="208">
        <f t="shared" ref="G51" si="92">G50*G52</f>
        <v>27250</v>
      </c>
      <c r="H51" s="212">
        <f t="shared" ref="H51" si="93">H50*H52</f>
        <v>27250</v>
      </c>
      <c r="I51" s="212">
        <f t="shared" ref="I51" si="94">I50*I52</f>
        <v>27250</v>
      </c>
      <c r="J51" s="212">
        <f t="shared" ref="J51" si="95">J50*J52</f>
        <v>27250</v>
      </c>
      <c r="K51" s="80"/>
    </row>
    <row r="52" spans="1:11">
      <c r="A52" s="80"/>
      <c r="C52" s="206" t="s">
        <v>185</v>
      </c>
      <c r="D52" s="210">
        <v>0</v>
      </c>
      <c r="E52" s="210">
        <v>0</v>
      </c>
      <c r="F52" s="209">
        <v>5.45E-2</v>
      </c>
      <c r="G52" s="209">
        <v>5.45E-2</v>
      </c>
      <c r="H52" s="201">
        <f t="shared" ref="H52:J52" si="96">G52</f>
        <v>5.45E-2</v>
      </c>
      <c r="I52" s="201">
        <f t="shared" si="96"/>
        <v>5.45E-2</v>
      </c>
      <c r="J52" s="201">
        <f t="shared" si="96"/>
        <v>5.45E-2</v>
      </c>
      <c r="K52" s="80"/>
    </row>
    <row r="53" spans="1:11">
      <c r="A53" s="80"/>
      <c r="C53" s="206"/>
      <c r="D53" s="210"/>
      <c r="E53" s="210"/>
      <c r="F53" s="209"/>
      <c r="G53" s="209"/>
      <c r="H53" s="4"/>
      <c r="I53" s="4"/>
      <c r="J53" s="4"/>
      <c r="K53" s="80"/>
    </row>
    <row r="54" spans="1:11">
      <c r="A54" s="80"/>
      <c r="C54" s="106" t="s">
        <v>449</v>
      </c>
      <c r="D54" s="109">
        <v>-34</v>
      </c>
      <c r="E54" s="109">
        <v>-26</v>
      </c>
      <c r="F54" s="109">
        <v>-17</v>
      </c>
      <c r="G54" s="107">
        <v>-1482</v>
      </c>
      <c r="H54" s="33">
        <f t="shared" ref="H54:J54" si="97">G54</f>
        <v>-1482</v>
      </c>
      <c r="I54" s="33">
        <f t="shared" si="97"/>
        <v>-1482</v>
      </c>
      <c r="J54" s="33">
        <f t="shared" si="97"/>
        <v>-1482</v>
      </c>
      <c r="K54" s="80"/>
    </row>
    <row r="55" spans="1:11">
      <c r="A55" s="80"/>
      <c r="C55" s="105" t="s">
        <v>182</v>
      </c>
      <c r="D55" s="107">
        <v>-1523</v>
      </c>
      <c r="E55" s="107">
        <v>-1157</v>
      </c>
      <c r="F55" s="109">
        <v>-824</v>
      </c>
      <c r="G55" s="107">
        <v>-12170</v>
      </c>
      <c r="H55" s="33">
        <f t="shared" ref="H55:J55" si="98">G55</f>
        <v>-12170</v>
      </c>
      <c r="I55" s="33">
        <f t="shared" si="98"/>
        <v>-12170</v>
      </c>
      <c r="J55" s="33">
        <f t="shared" si="98"/>
        <v>-12170</v>
      </c>
      <c r="K55" s="80"/>
    </row>
    <row r="56" spans="1:11">
      <c r="A56" s="80"/>
      <c r="C56" s="213" t="s">
        <v>183</v>
      </c>
      <c r="D56" s="220">
        <v>723443</v>
      </c>
      <c r="E56" s="220">
        <v>598817</v>
      </c>
      <c r="F56" s="126">
        <v>599159</v>
      </c>
      <c r="G56" s="126">
        <v>1786348</v>
      </c>
      <c r="H56" s="40">
        <f t="shared" ref="H56:J56" si="99">SUM(H10,H18,H26,H34,H42,H50,H54,H55)</f>
        <v>1436348</v>
      </c>
      <c r="I56" s="40">
        <f t="shared" si="99"/>
        <v>1336348</v>
      </c>
      <c r="J56" s="40">
        <f t="shared" si="99"/>
        <v>1336348</v>
      </c>
      <c r="K56" s="80"/>
    </row>
    <row r="57" spans="1:11">
      <c r="A57" s="80"/>
      <c r="C57" s="106" t="s">
        <v>453</v>
      </c>
      <c r="D57" s="107">
        <v>0</v>
      </c>
      <c r="E57" s="107">
        <v>0</v>
      </c>
      <c r="F57" s="105">
        <v>0</v>
      </c>
      <c r="G57" s="107">
        <v>349699</v>
      </c>
      <c r="H57" s="33">
        <f t="shared" ref="H57:J57" si="100">H56*H58</f>
        <v>281182.31120252045</v>
      </c>
      <c r="I57" s="33">
        <f t="shared" si="100"/>
        <v>261606.11440324059</v>
      </c>
      <c r="J57" s="33">
        <f t="shared" si="100"/>
        <v>261606.11440324059</v>
      </c>
      <c r="K57" s="80"/>
    </row>
    <row r="58" spans="1:11">
      <c r="A58" s="80"/>
      <c r="C58" s="206" t="s">
        <v>454</v>
      </c>
      <c r="D58" s="222">
        <f t="shared" ref="D58:G58" si="101">D57/D56</f>
        <v>0</v>
      </c>
      <c r="E58" s="222">
        <f t="shared" si="101"/>
        <v>0</v>
      </c>
      <c r="F58" s="223">
        <f t="shared" si="101"/>
        <v>0</v>
      </c>
      <c r="G58" s="222">
        <f t="shared" si="101"/>
        <v>0.19576196799279871</v>
      </c>
      <c r="H58" s="201">
        <f t="shared" ref="H58:J58" si="102">G58</f>
        <v>0.19576196799279871</v>
      </c>
      <c r="I58" s="201">
        <f t="shared" si="102"/>
        <v>0.19576196799279871</v>
      </c>
      <c r="J58" s="201">
        <f t="shared" si="102"/>
        <v>0.19576196799279871</v>
      </c>
      <c r="K58" s="80"/>
    </row>
    <row r="59" spans="1:11">
      <c r="A59" s="80"/>
      <c r="C59" s="106"/>
      <c r="D59" s="107"/>
      <c r="E59" s="107"/>
      <c r="F59" s="105"/>
      <c r="G59" s="107"/>
      <c r="H59" s="4"/>
      <c r="I59" s="4"/>
      <c r="J59" s="4"/>
      <c r="K59" s="80"/>
    </row>
    <row r="60" spans="1:11">
      <c r="A60" s="80"/>
      <c r="B60" s="43"/>
      <c r="C60" s="226" t="s">
        <v>184</v>
      </c>
      <c r="D60" s="112">
        <v>723443</v>
      </c>
      <c r="E60" s="112">
        <v>598817</v>
      </c>
      <c r="F60" s="227">
        <v>599159</v>
      </c>
      <c r="G60" s="227">
        <v>1436649</v>
      </c>
      <c r="H60" s="104">
        <f t="shared" ref="H60:J60" si="103">H56-H57</f>
        <v>1155165.6887974795</v>
      </c>
      <c r="I60" s="104">
        <f t="shared" si="103"/>
        <v>1074741.8855967594</v>
      </c>
      <c r="J60" s="104">
        <f t="shared" si="103"/>
        <v>1074741.8855967594</v>
      </c>
      <c r="K60" s="80"/>
    </row>
    <row r="61" spans="1:11">
      <c r="A61" s="80"/>
      <c r="H61" s="4"/>
      <c r="I61" s="4"/>
      <c r="J61" s="4"/>
      <c r="K61" s="80"/>
    </row>
    <row r="62" spans="1:11">
      <c r="A62" s="80"/>
      <c r="B62" s="43"/>
      <c r="C62" s="43" t="s">
        <v>458</v>
      </c>
      <c r="D62" s="43"/>
      <c r="E62" s="47">
        <f t="shared" ref="E62:J62" si="104">E8+E16+E24+E32+E40+E48+E54-D54+E55-D55-E57+D57</f>
        <v>374</v>
      </c>
      <c r="F62" s="47">
        <f t="shared" si="104"/>
        <v>342</v>
      </c>
      <c r="G62" s="47">
        <f t="shared" si="104"/>
        <v>837490</v>
      </c>
      <c r="H62" s="47">
        <f t="shared" si="104"/>
        <v>68516.688797479554</v>
      </c>
      <c r="I62" s="47">
        <f t="shared" si="104"/>
        <v>19576.19679927986</v>
      </c>
      <c r="J62" s="47">
        <f t="shared" si="104"/>
        <v>0</v>
      </c>
      <c r="K62" s="80"/>
    </row>
    <row r="63" spans="1:11">
      <c r="A63" s="80"/>
      <c r="B63" s="43"/>
      <c r="C63" s="43" t="s">
        <v>459</v>
      </c>
      <c r="D63" s="43"/>
      <c r="E63" s="43">
        <f t="shared" ref="E63:J63" si="105">SUM(E9,E17,E25,E33,E41,E49)</f>
        <v>-125000</v>
      </c>
      <c r="F63" s="43">
        <f t="shared" si="105"/>
        <v>0</v>
      </c>
      <c r="G63" s="43">
        <f t="shared" si="105"/>
        <v>0</v>
      </c>
      <c r="H63" s="43">
        <f t="shared" si="105"/>
        <v>-350000</v>
      </c>
      <c r="I63" s="43">
        <f t="shared" si="105"/>
        <v>-100000</v>
      </c>
      <c r="J63" s="43">
        <f t="shared" si="105"/>
        <v>0</v>
      </c>
      <c r="K63" s="80"/>
    </row>
    <row r="64" spans="1:11">
      <c r="A64" s="80"/>
      <c r="C64" s="184" t="s">
        <v>460</v>
      </c>
      <c r="D64" s="184"/>
      <c r="E64" s="224">
        <f t="shared" ref="E64:J64" si="106">SUM(E62:E63)</f>
        <v>-124626</v>
      </c>
      <c r="F64" s="224">
        <f t="shared" si="106"/>
        <v>342</v>
      </c>
      <c r="G64" s="224">
        <f t="shared" si="106"/>
        <v>837490</v>
      </c>
      <c r="H64" s="40">
        <f t="shared" si="106"/>
        <v>-281483.31120252045</v>
      </c>
      <c r="I64" s="40">
        <f t="shared" si="106"/>
        <v>-80423.80320072014</v>
      </c>
      <c r="J64" s="40">
        <f t="shared" si="106"/>
        <v>0</v>
      </c>
      <c r="K64" s="80"/>
    </row>
    <row r="65" spans="1:11">
      <c r="A65" s="80"/>
      <c r="H65" s="4"/>
      <c r="I65" s="4"/>
      <c r="J65" s="4"/>
      <c r="K65" s="80"/>
    </row>
    <row r="66" spans="1:11">
      <c r="A66" s="80"/>
      <c r="C66" s="184" t="s">
        <v>461</v>
      </c>
      <c r="D66" s="224">
        <f t="shared" ref="D66:J66" si="107">SUM(D11,D19,D27,D35,D43,D51)</f>
        <v>27270</v>
      </c>
      <c r="E66" s="224">
        <f t="shared" si="107"/>
        <v>23170</v>
      </c>
      <c r="F66" s="224">
        <f t="shared" si="107"/>
        <v>23170</v>
      </c>
      <c r="G66" s="224">
        <f t="shared" si="107"/>
        <v>87170</v>
      </c>
      <c r="H66" s="40">
        <f t="shared" si="107"/>
        <v>73870</v>
      </c>
      <c r="I66" s="40">
        <f t="shared" si="107"/>
        <v>69940</v>
      </c>
      <c r="J66" s="40">
        <f t="shared" si="107"/>
        <v>69940</v>
      </c>
      <c r="K66" s="80"/>
    </row>
    <row r="67" spans="1:11">
      <c r="A67" s="80"/>
      <c r="H67" s="4"/>
      <c r="I67" s="4"/>
      <c r="J67" s="4"/>
      <c r="K67" s="80"/>
    </row>
    <row r="68" spans="1:11">
      <c r="A68" s="80"/>
      <c r="E68" s="129">
        <f t="shared" ref="E68:J68" si="108">E60-D60</f>
        <v>-124626</v>
      </c>
      <c r="F68" s="129">
        <f t="shared" si="108"/>
        <v>342</v>
      </c>
      <c r="G68" s="129">
        <f t="shared" si="108"/>
        <v>837490</v>
      </c>
      <c r="H68" s="33">
        <f t="shared" si="108"/>
        <v>-281483.3112025205</v>
      </c>
      <c r="I68" s="33">
        <f t="shared" si="108"/>
        <v>-80423.803200720111</v>
      </c>
      <c r="J68" s="33">
        <f t="shared" si="108"/>
        <v>0</v>
      </c>
      <c r="K68" s="80"/>
    </row>
    <row r="69" spans="1:11">
      <c r="A69" s="80"/>
      <c r="H69" s="4"/>
      <c r="I69" s="4"/>
      <c r="J69" s="4"/>
      <c r="K69" s="80"/>
    </row>
    <row r="70" spans="1:11">
      <c r="A70" s="80"/>
      <c r="H70" s="4"/>
      <c r="I70" s="4"/>
      <c r="J70" s="4"/>
      <c r="K70" s="80"/>
    </row>
    <row r="71" spans="1:11">
      <c r="A71" s="80"/>
      <c r="H71" s="4"/>
      <c r="I71" s="4"/>
      <c r="J71" s="4"/>
      <c r="K71" s="80"/>
    </row>
    <row r="72" spans="1:11">
      <c r="A72" s="80"/>
      <c r="H72" s="4"/>
      <c r="I72" s="4"/>
      <c r="J72" s="4"/>
      <c r="K72" s="80"/>
    </row>
    <row r="73" spans="1:11">
      <c r="A73" s="80"/>
      <c r="H73" s="4"/>
      <c r="I73" s="4"/>
      <c r="J73" s="4"/>
      <c r="K73" s="80"/>
    </row>
    <row r="74" spans="1:11">
      <c r="A74" s="80"/>
      <c r="H74" s="4"/>
      <c r="I74" s="4"/>
      <c r="J74" s="4"/>
      <c r="K74" s="80"/>
    </row>
    <row r="75" spans="1:11">
      <c r="A75" s="80"/>
      <c r="H75" s="4"/>
      <c r="I75" s="4"/>
      <c r="J75" s="4"/>
      <c r="K75" s="80"/>
    </row>
    <row r="76" spans="1:11">
      <c r="A76" s="80"/>
      <c r="H76" s="4"/>
      <c r="I76" s="4"/>
      <c r="J76" s="4"/>
      <c r="K76" s="80"/>
    </row>
    <row r="77" spans="1:11">
      <c r="A77" s="80"/>
      <c r="H77" s="4"/>
      <c r="I77" s="4"/>
      <c r="J77" s="4"/>
      <c r="K77" s="80"/>
    </row>
    <row r="78" spans="1:11">
      <c r="A78" s="80"/>
      <c r="H78" s="4"/>
      <c r="I78" s="4"/>
      <c r="J78" s="4"/>
      <c r="K78" s="80"/>
    </row>
    <row r="79" spans="1:11">
      <c r="A79" s="80"/>
      <c r="H79" s="4"/>
      <c r="I79" s="4"/>
      <c r="J79" s="4"/>
      <c r="K79" s="80"/>
    </row>
    <row r="80" spans="1:11">
      <c r="A80" s="80"/>
      <c r="H80" s="4"/>
      <c r="I80" s="4"/>
      <c r="J80" s="4"/>
      <c r="K80" s="80"/>
    </row>
    <row r="81" spans="1:11">
      <c r="A81" s="80"/>
      <c r="H81" s="4"/>
      <c r="I81" s="4"/>
      <c r="J81" s="4"/>
      <c r="K81" s="80"/>
    </row>
    <row r="82" spans="1:11">
      <c r="A82" s="80"/>
      <c r="H82" s="4"/>
      <c r="I82" s="4"/>
      <c r="J82" s="4"/>
      <c r="K82" s="80"/>
    </row>
    <row r="83" spans="1:11">
      <c r="A83" s="80"/>
      <c r="H83" s="4"/>
      <c r="I83" s="4"/>
      <c r="J83" s="4"/>
      <c r="K83" s="80"/>
    </row>
    <row r="84" spans="1:11">
      <c r="A84" s="80"/>
      <c r="H84" s="4"/>
      <c r="I84" s="4"/>
      <c r="J84" s="4"/>
      <c r="K84" s="80"/>
    </row>
    <row r="85" spans="1:11">
      <c r="A85" s="80"/>
      <c r="H85" s="4"/>
      <c r="I85" s="4"/>
      <c r="J85" s="4"/>
      <c r="K85" s="80"/>
    </row>
    <row r="86" spans="1:11">
      <c r="A86" s="80"/>
      <c r="H86" s="4"/>
      <c r="I86" s="4"/>
      <c r="J86" s="4"/>
      <c r="K86" s="80"/>
    </row>
    <row r="87" spans="1:11">
      <c r="A87" s="80"/>
      <c r="H87" s="4"/>
      <c r="I87" s="4"/>
      <c r="J87" s="4"/>
      <c r="K87" s="80"/>
    </row>
    <row r="88" spans="1:11">
      <c r="A88" s="80"/>
      <c r="H88" s="4"/>
      <c r="I88" s="4"/>
      <c r="J88" s="4"/>
      <c r="K88" s="80"/>
    </row>
    <row r="89" spans="1:11">
      <c r="A89" s="80"/>
      <c r="H89" s="4"/>
      <c r="I89" s="4"/>
      <c r="J89" s="4"/>
      <c r="K89" s="80"/>
    </row>
    <row r="90" spans="1:11">
      <c r="A90" s="80"/>
      <c r="H90" s="4"/>
      <c r="I90" s="4"/>
      <c r="J90" s="4"/>
      <c r="K90" s="80"/>
    </row>
    <row r="91" spans="1:11">
      <c r="A91" s="80"/>
      <c r="H91" s="4"/>
      <c r="I91" s="4"/>
      <c r="J91" s="4"/>
      <c r="K91" s="80"/>
    </row>
    <row r="92" spans="1:11">
      <c r="A92" s="80"/>
      <c r="H92" s="4"/>
      <c r="I92" s="4"/>
      <c r="J92" s="4"/>
      <c r="K92" s="80"/>
    </row>
    <row r="93" spans="1:11">
      <c r="A93" s="80"/>
      <c r="H93" s="4"/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H100" s="4"/>
      <c r="I100" s="4"/>
      <c r="J100" s="4"/>
      <c r="K100" s="80"/>
    </row>
    <row r="101" spans="1:11">
      <c r="A101" s="80"/>
      <c r="H101" s="4"/>
      <c r="I101" s="4"/>
      <c r="J101" s="4"/>
      <c r="K101" s="80"/>
    </row>
    <row r="102" spans="1:11">
      <c r="A102" s="80"/>
      <c r="H102" s="4"/>
      <c r="I102" s="4"/>
      <c r="J102" s="4"/>
      <c r="K102" s="80"/>
    </row>
    <row r="103" spans="1:11">
      <c r="A103" s="80"/>
      <c r="H103" s="4"/>
      <c r="I103" s="4"/>
      <c r="J103" s="4"/>
      <c r="K103" s="80"/>
    </row>
    <row r="104" spans="1:11">
      <c r="A104" s="80"/>
      <c r="H104" s="4"/>
      <c r="I104" s="4"/>
      <c r="J104" s="4"/>
      <c r="K104" s="80"/>
    </row>
    <row r="105" spans="1:11">
      <c r="A105" s="80"/>
      <c r="H105" s="4"/>
      <c r="I105" s="4"/>
      <c r="J105" s="4"/>
      <c r="K105" s="80"/>
    </row>
    <row r="106" spans="1:11">
      <c r="A106" s="80"/>
      <c r="H106" s="4"/>
      <c r="I106" s="4"/>
      <c r="J106" s="4"/>
      <c r="K106" s="80"/>
    </row>
    <row r="107" spans="1:11">
      <c r="A107" s="80"/>
      <c r="H107" s="4"/>
      <c r="I107" s="4"/>
      <c r="J107" s="4"/>
      <c r="K107" s="80"/>
    </row>
    <row r="108" spans="1:11">
      <c r="A108" s="80"/>
      <c r="H108" s="4"/>
      <c r="I108" s="4"/>
      <c r="J108" s="4"/>
      <c r="K108" s="80"/>
    </row>
    <row r="109" spans="1:11">
      <c r="A109" s="80"/>
      <c r="H109" s="4"/>
      <c r="I109" s="4"/>
      <c r="J109" s="4"/>
      <c r="K109" s="80"/>
    </row>
    <row r="110" spans="1:11">
      <c r="A110" s="80"/>
      <c r="H110" s="4"/>
      <c r="I110" s="4"/>
      <c r="J110" s="4"/>
      <c r="K110" s="80"/>
    </row>
    <row r="111" spans="1:11">
      <c r="A111" s="80"/>
      <c r="H111" s="4"/>
      <c r="I111" s="4"/>
      <c r="J111" s="4"/>
      <c r="K111" s="80"/>
    </row>
    <row r="112" spans="1:11">
      <c r="A112" s="80"/>
      <c r="H112" s="4"/>
      <c r="I112" s="4"/>
      <c r="J112" s="4"/>
      <c r="K112" s="80"/>
    </row>
    <row r="113" spans="1:11">
      <c r="A113" s="80"/>
      <c r="H113" s="4"/>
      <c r="I113" s="4"/>
      <c r="J113" s="4"/>
      <c r="K113" s="80"/>
    </row>
    <row r="114" spans="1:11">
      <c r="A114" s="80"/>
      <c r="H114" s="4"/>
      <c r="I114" s="4"/>
      <c r="J114" s="4"/>
      <c r="K114" s="80"/>
    </row>
    <row r="115" spans="1:11">
      <c r="A115" s="80"/>
      <c r="H115" s="4"/>
      <c r="I115" s="4"/>
      <c r="J115" s="4"/>
      <c r="K115" s="80"/>
    </row>
    <row r="116" spans="1:11">
      <c r="A116" s="80"/>
      <c r="H116" s="4"/>
      <c r="I116" s="4"/>
      <c r="J116" s="4"/>
      <c r="K116" s="80"/>
    </row>
    <row r="117" spans="1:11">
      <c r="A117" s="80"/>
      <c r="H117" s="4"/>
      <c r="I117" s="4"/>
      <c r="J117" s="4"/>
      <c r="K117" s="80"/>
    </row>
    <row r="118" spans="1:11">
      <c r="A118" s="80"/>
      <c r="H118" s="4"/>
      <c r="I118" s="4"/>
      <c r="J118" s="4"/>
      <c r="K118" s="80"/>
    </row>
    <row r="119" spans="1:11">
      <c r="A119" s="80"/>
      <c r="H119" s="4"/>
      <c r="I119" s="4"/>
      <c r="J119" s="4"/>
      <c r="K119" s="80"/>
    </row>
    <row r="120" spans="1:11">
      <c r="A120" s="80"/>
      <c r="H120" s="4"/>
      <c r="I120" s="4"/>
      <c r="J120" s="4"/>
      <c r="K120" s="80"/>
    </row>
    <row r="121" spans="1:11">
      <c r="A121" s="80"/>
      <c r="H121" s="4"/>
      <c r="I121" s="4"/>
      <c r="J121" s="4"/>
      <c r="K121" s="80"/>
    </row>
    <row r="122" spans="1:11">
      <c r="A122" s="80"/>
      <c r="H122" s="4"/>
      <c r="I122" s="4"/>
      <c r="J122" s="4"/>
      <c r="K122" s="80"/>
    </row>
    <row r="123" spans="1:11">
      <c r="A123" s="80"/>
      <c r="H123" s="4"/>
      <c r="I123" s="4"/>
      <c r="J123" s="4"/>
      <c r="K123" s="80"/>
    </row>
    <row r="124" spans="1:11">
      <c r="A124" s="80"/>
      <c r="H124" s="4"/>
      <c r="I124" s="4"/>
      <c r="J124" s="4"/>
      <c r="K124" s="80"/>
    </row>
    <row r="125" spans="1:11">
      <c r="A125" s="80"/>
      <c r="H125" s="4"/>
      <c r="I125" s="4"/>
      <c r="J125" s="4"/>
      <c r="K125" s="80"/>
    </row>
    <row r="126" spans="1:11">
      <c r="A126" s="80"/>
      <c r="H126" s="4"/>
      <c r="I126" s="4"/>
      <c r="J126" s="4"/>
      <c r="K126" s="80"/>
    </row>
    <row r="127" spans="1:11">
      <c r="A127" s="80"/>
      <c r="H127" s="4"/>
      <c r="I127" s="4"/>
      <c r="J127" s="4"/>
      <c r="K127" s="80"/>
    </row>
    <row r="128" spans="1:11">
      <c r="A128" s="80"/>
      <c r="H128" s="4"/>
      <c r="I128" s="4"/>
      <c r="J128" s="4"/>
      <c r="K128" s="80"/>
    </row>
    <row r="129" spans="1:11">
      <c r="A129" s="80"/>
      <c r="H129" s="4"/>
      <c r="I129" s="4"/>
      <c r="J129" s="4"/>
      <c r="K129" s="80"/>
    </row>
    <row r="130" spans="1:11">
      <c r="A130" s="80"/>
      <c r="H130" s="4"/>
      <c r="I130" s="4"/>
      <c r="J130" s="4"/>
      <c r="K130" s="80"/>
    </row>
    <row r="131" spans="1:11">
      <c r="A131" s="80"/>
      <c r="H131" s="4"/>
      <c r="I131" s="4"/>
      <c r="J131" s="4"/>
      <c r="K131" s="80"/>
    </row>
    <row r="132" spans="1:11">
      <c r="A132" s="80"/>
      <c r="H132" s="4"/>
      <c r="I132" s="4"/>
      <c r="J132" s="4"/>
      <c r="K132" s="80"/>
    </row>
    <row r="133" spans="1:11">
      <c r="A133" s="80"/>
      <c r="H133" s="4"/>
      <c r="I133" s="4"/>
      <c r="J133" s="4"/>
      <c r="K133" s="80"/>
    </row>
    <row r="134" spans="1:11">
      <c r="A134" s="80"/>
      <c r="H134" s="4"/>
      <c r="I134" s="4"/>
      <c r="J134" s="4"/>
      <c r="K134" s="80"/>
    </row>
    <row r="135" spans="1:11">
      <c r="A135" s="80"/>
      <c r="H135" s="4"/>
      <c r="I135" s="4"/>
      <c r="J135" s="4"/>
      <c r="K135" s="80"/>
    </row>
    <row r="136" spans="1:11">
      <c r="A136" s="80"/>
      <c r="H136" s="4"/>
      <c r="I136" s="4"/>
      <c r="J136" s="4"/>
      <c r="K136" s="80"/>
    </row>
    <row r="137" spans="1:11">
      <c r="A137" s="80"/>
      <c r="H137" s="4"/>
      <c r="I137" s="4"/>
      <c r="J137" s="4"/>
      <c r="K137" s="80"/>
    </row>
    <row r="138" spans="1:1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</row>
  </sheetData>
  <mergeCells count="5">
    <mergeCell ref="B2:C2"/>
    <mergeCell ref="B3:C3"/>
    <mergeCell ref="E3:G3"/>
    <mergeCell ref="H3:J3"/>
    <mergeCell ref="B4:C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CBBDB-DFB7-4A00-8233-CF098ECA3200}">
  <dimension ref="A1:N114"/>
  <sheetViews>
    <sheetView showGridLines="0" topLeftCell="A7" workbookViewId="0">
      <selection activeCell="H28" sqref="H28:K28"/>
    </sheetView>
  </sheetViews>
  <sheetFormatPr defaultColWidth="0" defaultRowHeight="14.4"/>
  <cols>
    <col min="1" max="2" width="3.77734375" customWidth="1"/>
    <col min="3" max="3" width="50.77734375" customWidth="1"/>
    <col min="4" max="12" width="11.6640625" bestFit="1" customWidth="1"/>
    <col min="13" max="13" width="3.77734375" customWidth="1"/>
    <col min="14" max="14" width="3.77734375" hidden="1" customWidth="1"/>
    <col min="15" max="16384" width="8.88671875" hidden="1"/>
  </cols>
  <sheetData>
    <row r="1" spans="1:1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>
      <c r="A2" s="80"/>
      <c r="B2" s="267" t="str">
        <f>Company_name</f>
        <v>Coca-Cola Consolidated, Inc. (COKE)</v>
      </c>
      <c r="C2" s="267"/>
      <c r="D2" s="77"/>
      <c r="E2" s="77"/>
      <c r="F2" s="77"/>
      <c r="G2" s="78"/>
      <c r="H2" s="78"/>
      <c r="I2" s="78"/>
      <c r="J2" s="78"/>
      <c r="K2" s="78"/>
      <c r="L2" s="78"/>
      <c r="M2" s="80"/>
    </row>
    <row r="3" spans="1:13">
      <c r="A3" s="80"/>
      <c r="B3" s="267" t="s">
        <v>386</v>
      </c>
      <c r="C3" s="267"/>
      <c r="D3" s="78"/>
      <c r="E3" s="78"/>
      <c r="F3" s="78"/>
      <c r="G3" s="268" t="s">
        <v>8</v>
      </c>
      <c r="H3" s="268"/>
      <c r="I3" s="268"/>
      <c r="J3" s="268" t="s">
        <v>9</v>
      </c>
      <c r="K3" s="268"/>
      <c r="L3" s="268"/>
      <c r="M3" s="80"/>
    </row>
    <row r="4" spans="1:13">
      <c r="A4" s="80"/>
      <c r="B4" s="267" t="str">
        <f>currency</f>
        <v>in thousands, except per share data</v>
      </c>
      <c r="C4" s="267"/>
      <c r="D4" s="79">
        <f t="shared" ref="D4:F4" si="0">EDATE(E4,-12)</f>
        <v>43830</v>
      </c>
      <c r="E4" s="79">
        <f t="shared" si="0"/>
        <v>44196</v>
      </c>
      <c r="F4" s="79">
        <f t="shared" si="0"/>
        <v>44561</v>
      </c>
      <c r="G4" s="79">
        <f>EDATE(H4,-12)</f>
        <v>44926</v>
      </c>
      <c r="H4" s="79">
        <f>EDATE(I4,-12)</f>
        <v>45291</v>
      </c>
      <c r="I4" s="79">
        <f>LHY</f>
        <v>45657</v>
      </c>
      <c r="J4" s="79">
        <f>EDATE(I4,12)</f>
        <v>46022</v>
      </c>
      <c r="K4" s="79">
        <f t="shared" ref="K4:L4" si="1">EDATE(J4,12)</f>
        <v>46387</v>
      </c>
      <c r="L4" s="79">
        <f t="shared" si="1"/>
        <v>46752</v>
      </c>
      <c r="M4" s="80"/>
    </row>
    <row r="5" spans="1:13">
      <c r="A5" s="80"/>
      <c r="J5" s="4"/>
      <c r="K5" s="4"/>
      <c r="L5" s="4"/>
      <c r="M5" s="80"/>
    </row>
    <row r="6" spans="1:13">
      <c r="A6" s="80"/>
      <c r="J6" s="4"/>
      <c r="K6" s="4"/>
      <c r="L6" s="4"/>
      <c r="M6" s="80"/>
    </row>
    <row r="7" spans="1:13" ht="17.399999999999999">
      <c r="A7" s="80"/>
      <c r="C7" s="18" t="s">
        <v>123</v>
      </c>
      <c r="D7" s="55"/>
      <c r="E7" s="55"/>
      <c r="F7" s="55"/>
      <c r="G7" s="55"/>
      <c r="H7" s="8"/>
      <c r="I7" s="8"/>
      <c r="J7" s="4"/>
      <c r="K7" s="4"/>
      <c r="L7" s="4"/>
      <c r="M7" s="80"/>
    </row>
    <row r="8" spans="1:13">
      <c r="A8" s="80"/>
      <c r="C8" s="13" t="s">
        <v>124</v>
      </c>
      <c r="D8" s="16">
        <v>2582478</v>
      </c>
      <c r="E8" s="16">
        <v>2760827</v>
      </c>
      <c r="F8" s="16">
        <v>3020887</v>
      </c>
      <c r="G8" s="16">
        <v>3521273</v>
      </c>
      <c r="H8" s="16">
        <v>3892133</v>
      </c>
      <c r="I8" s="16">
        <v>4106073</v>
      </c>
      <c r="J8" s="33">
        <v>4331772.7018395821</v>
      </c>
      <c r="K8" s="33">
        <v>4569878.5044500176</v>
      </c>
      <c r="L8" s="33">
        <f t="shared" ref="L8" si="2">L11*L13</f>
        <v>4821072.3375595324</v>
      </c>
      <c r="M8" s="80"/>
    </row>
    <row r="9" spans="1:13">
      <c r="A9" s="80"/>
      <c r="C9" s="59" t="s">
        <v>132</v>
      </c>
      <c r="D9" s="61">
        <f t="shared" ref="D9:H9" si="3">D8/D$33</f>
        <v>0.53505682838815061</v>
      </c>
      <c r="E9" s="61">
        <f t="shared" si="3"/>
        <v>0.55135413752205009</v>
      </c>
      <c r="F9" s="61">
        <f t="shared" si="3"/>
        <v>0.54305991643647322</v>
      </c>
      <c r="G9" s="61">
        <f t="shared" si="3"/>
        <v>0.56785960618659348</v>
      </c>
      <c r="H9" s="61">
        <f t="shared" si="3"/>
        <v>0.58494380252779665</v>
      </c>
      <c r="I9" s="61">
        <f t="shared" ref="I9:L9" si="4">I8/I$33</f>
        <v>0.59510753775952518</v>
      </c>
      <c r="J9" s="73">
        <f t="shared" si="4"/>
        <v>0.60243632940392566</v>
      </c>
      <c r="K9" s="73">
        <f t="shared" si="4"/>
        <v>0.60950871702115672</v>
      </c>
      <c r="L9" s="73">
        <f t="shared" si="4"/>
        <v>0.61634228416401637</v>
      </c>
      <c r="M9" s="80"/>
    </row>
    <row r="10" spans="1:13">
      <c r="A10" s="80"/>
      <c r="C10" s="59" t="s">
        <v>133</v>
      </c>
      <c r="D10" s="60"/>
      <c r="E10" s="61">
        <f t="shared" ref="E10:I10" si="5">E8/D8-1</f>
        <v>6.9061188517385297E-2</v>
      </c>
      <c r="F10" s="61">
        <f t="shared" si="5"/>
        <v>9.4196412886428549E-2</v>
      </c>
      <c r="G10" s="61">
        <f t="shared" si="5"/>
        <v>0.165642077972463</v>
      </c>
      <c r="H10" s="61">
        <f t="shared" si="5"/>
        <v>0.10531986585533137</v>
      </c>
      <c r="I10" s="61">
        <f t="shared" si="5"/>
        <v>5.4967289144538523E-2</v>
      </c>
      <c r="J10" s="70">
        <f t="shared" ref="J10:L10" si="6">I10</f>
        <v>5.4967289144538523E-2</v>
      </c>
      <c r="K10" s="70">
        <f t="shared" si="6"/>
        <v>5.4967289144538523E-2</v>
      </c>
      <c r="L10" s="70">
        <f t="shared" si="6"/>
        <v>5.4967289144538523E-2</v>
      </c>
      <c r="M10" s="80"/>
    </row>
    <row r="11" spans="1:13">
      <c r="A11" s="80"/>
      <c r="C11" s="56" t="s">
        <v>131</v>
      </c>
      <c r="D11" s="57"/>
      <c r="E11" s="57"/>
      <c r="F11" s="57">
        <v>254028</v>
      </c>
      <c r="G11" s="57">
        <v>255514</v>
      </c>
      <c r="H11" s="57">
        <v>263872</v>
      </c>
      <c r="I11" s="57">
        <v>266686</v>
      </c>
      <c r="J11" s="72">
        <f t="shared" ref="J11:L11" si="7">I11*(1+J12)</f>
        <v>269530.0092317487</v>
      </c>
      <c r="K11" s="72">
        <f t="shared" si="7"/>
        <v>272404.34772153973</v>
      </c>
      <c r="L11" s="72">
        <f t="shared" si="7"/>
        <v>275309.33890851069</v>
      </c>
      <c r="M11" s="80"/>
    </row>
    <row r="12" spans="1:13">
      <c r="A12" s="80"/>
      <c r="C12" s="59" t="s">
        <v>133</v>
      </c>
      <c r="D12" s="60"/>
      <c r="E12" s="61"/>
      <c r="F12" s="61"/>
      <c r="G12" s="61">
        <f t="shared" ref="G12:I12" si="8">G11/F11-1</f>
        <v>5.8497488465838465E-3</v>
      </c>
      <c r="H12" s="61">
        <f t="shared" si="8"/>
        <v>3.2710536408963931E-2</v>
      </c>
      <c r="I12" s="61">
        <f t="shared" si="8"/>
        <v>1.0664261460101798E-2</v>
      </c>
      <c r="J12" s="70">
        <f t="shared" ref="J12:L12" si="9">I12</f>
        <v>1.0664261460101798E-2</v>
      </c>
      <c r="K12" s="70">
        <f t="shared" si="9"/>
        <v>1.0664261460101798E-2</v>
      </c>
      <c r="L12" s="70">
        <f t="shared" si="9"/>
        <v>1.0664261460101798E-2</v>
      </c>
      <c r="M12" s="80"/>
    </row>
    <row r="13" spans="1:13">
      <c r="A13" s="80"/>
      <c r="C13" s="66" t="s">
        <v>134</v>
      </c>
      <c r="D13" s="67"/>
      <c r="E13" s="68"/>
      <c r="F13" s="69">
        <f t="shared" ref="F13:I13" si="10">F8/F11</f>
        <v>11.89194498244288</v>
      </c>
      <c r="G13" s="69">
        <f t="shared" si="10"/>
        <v>13.781135280258615</v>
      </c>
      <c r="H13" s="69">
        <f t="shared" si="10"/>
        <v>14.750079584040748</v>
      </c>
      <c r="I13" s="69">
        <f t="shared" si="10"/>
        <v>15.396657492331807</v>
      </c>
      <c r="J13" s="71">
        <f t="shared" ref="J13:L13" si="11">I13*(1+J14)</f>
        <v>16.071578501357209</v>
      </c>
      <c r="K13" s="71">
        <f t="shared" si="11"/>
        <v>16.776085046636226</v>
      </c>
      <c r="L13" s="71">
        <f t="shared" si="11"/>
        <v>17.511474026537272</v>
      </c>
      <c r="M13" s="80"/>
    </row>
    <row r="14" spans="1:13">
      <c r="A14" s="80"/>
      <c r="C14" s="59" t="s">
        <v>133</v>
      </c>
      <c r="D14" s="60"/>
      <c r="E14" s="61"/>
      <c r="F14" s="61"/>
      <c r="G14" s="61">
        <f t="shared" ref="G14:I14" si="12">G13/F13-1</f>
        <v>0.15886302035578814</v>
      </c>
      <c r="H14" s="61">
        <f t="shared" si="12"/>
        <v>7.0309469000724434E-2</v>
      </c>
      <c r="I14" s="61">
        <f t="shared" si="12"/>
        <v>4.3835553876647726E-2</v>
      </c>
      <c r="J14" s="70">
        <f t="shared" ref="J14:L14" si="13">I14</f>
        <v>4.3835553876647726E-2</v>
      </c>
      <c r="K14" s="70">
        <f t="shared" si="13"/>
        <v>4.3835553876647726E-2</v>
      </c>
      <c r="L14" s="70">
        <f t="shared" si="13"/>
        <v>4.3835553876647726E-2</v>
      </c>
      <c r="M14" s="80"/>
    </row>
    <row r="15" spans="1:13">
      <c r="A15" s="80"/>
      <c r="C15" s="262" t="s">
        <v>125</v>
      </c>
      <c r="D15" s="263">
        <v>1558944</v>
      </c>
      <c r="E15" s="263">
        <v>1641716</v>
      </c>
      <c r="F15" s="263">
        <v>1861162</v>
      </c>
      <c r="G15" s="263">
        <v>2020100</v>
      </c>
      <c r="H15" s="263">
        <v>2149639</v>
      </c>
      <c r="I15" s="263">
        <v>2227243</v>
      </c>
      <c r="J15" s="221">
        <v>2307648.5777607309</v>
      </c>
      <c r="K15" s="221">
        <v>2390956.8728877474</v>
      </c>
      <c r="L15" s="221">
        <f t="shared" ref="L15" si="14">L18*L20</f>
        <v>2477272.6762219728</v>
      </c>
      <c r="M15" s="80"/>
    </row>
    <row r="16" spans="1:13">
      <c r="A16" s="80"/>
      <c r="C16" s="59" t="s">
        <v>132</v>
      </c>
      <c r="D16" s="61">
        <f t="shared" ref="D16" si="15">D15/D$33</f>
        <v>0.32299350944121774</v>
      </c>
      <c r="E16" s="61">
        <f t="shared" ref="E16" si="16">E15/E$33</f>
        <v>0.32786078564000931</v>
      </c>
      <c r="F16" s="61">
        <f t="shared" ref="F16" si="17">F15/F$33</f>
        <v>0.33457804949166897</v>
      </c>
      <c r="G16" s="61">
        <f t="shared" ref="G16" si="18">G15/G$33</f>
        <v>0.32577229611493841</v>
      </c>
      <c r="H16" s="61">
        <f t="shared" ref="H16" si="19">H15/H$33</f>
        <v>0.32306655777745785</v>
      </c>
      <c r="I16" s="61">
        <f t="shared" ref="I16" si="20">I15/I$33</f>
        <v>0.32280212692812282</v>
      </c>
      <c r="J16" s="73">
        <f t="shared" ref="J16" si="21">J15/J$33</f>
        <v>0.32093358410749034</v>
      </c>
      <c r="K16" s="73">
        <f t="shared" ref="K16" si="22">K15/K$33</f>
        <v>0.31889448584412949</v>
      </c>
      <c r="L16" s="73">
        <f t="shared" ref="L16" si="23">L15/L$33</f>
        <v>0.31670296416515914</v>
      </c>
      <c r="M16" s="80"/>
    </row>
    <row r="17" spans="1:13">
      <c r="A17" s="80"/>
      <c r="C17" s="59" t="s">
        <v>133</v>
      </c>
      <c r="D17" s="60"/>
      <c r="E17" s="61">
        <f t="shared" ref="E17:I17" si="24">E15/D15-1</f>
        <v>5.3094915532565734E-2</v>
      </c>
      <c r="F17" s="61">
        <f t="shared" si="24"/>
        <v>0.13366867350991285</v>
      </c>
      <c r="G17" s="61">
        <f t="shared" si="24"/>
        <v>8.5397187348548842E-2</v>
      </c>
      <c r="H17" s="61">
        <f t="shared" si="24"/>
        <v>6.412504331468738E-2</v>
      </c>
      <c r="I17" s="61">
        <f t="shared" si="24"/>
        <v>3.6100945321516864E-2</v>
      </c>
      <c r="J17" s="70">
        <f t="shared" ref="J17:L17" si="25">I17</f>
        <v>3.6100945321516864E-2</v>
      </c>
      <c r="K17" s="70">
        <f t="shared" si="25"/>
        <v>3.6100945321516864E-2</v>
      </c>
      <c r="L17" s="70">
        <f t="shared" si="25"/>
        <v>3.6100945321516864E-2</v>
      </c>
      <c r="M17" s="80"/>
    </row>
    <row r="18" spans="1:13">
      <c r="A18" s="80"/>
      <c r="C18" s="56" t="s">
        <v>131</v>
      </c>
      <c r="D18" s="57"/>
      <c r="E18" s="57"/>
      <c r="F18" s="57">
        <v>112008</v>
      </c>
      <c r="G18" s="57">
        <v>110601</v>
      </c>
      <c r="H18" s="57">
        <v>91495</v>
      </c>
      <c r="I18" s="57">
        <v>86417</v>
      </c>
      <c r="J18" s="72">
        <f t="shared" ref="J18" si="26">I18*(1+J19)</f>
        <v>81620.830526258273</v>
      </c>
      <c r="K18" s="72">
        <f t="shared" ref="K18" si="27">J18*(1+K19)</f>
        <v>77090.849899859677</v>
      </c>
      <c r="L18" s="72">
        <f t="shared" ref="L18" si="28">K18*(1+L19)</f>
        <v>72812.284559770196</v>
      </c>
      <c r="M18" s="80"/>
    </row>
    <row r="19" spans="1:13">
      <c r="A19" s="80"/>
      <c r="C19" s="59" t="s">
        <v>133</v>
      </c>
      <c r="D19" s="60"/>
      <c r="E19" s="61"/>
      <c r="F19" s="61"/>
      <c r="G19" s="61">
        <f t="shared" ref="G19" si="29">G18/F18-1</f>
        <v>-1.2561602742661271E-2</v>
      </c>
      <c r="H19" s="61">
        <f t="shared" ref="H19" si="30">H18/G18-1</f>
        <v>-0.17274708185278609</v>
      </c>
      <c r="I19" s="61">
        <f t="shared" ref="I19" si="31">I18/H18-1</f>
        <v>-5.5500300562872251E-2</v>
      </c>
      <c r="J19" s="70">
        <f t="shared" ref="J19:L19" si="32">I19</f>
        <v>-5.5500300562872251E-2</v>
      </c>
      <c r="K19" s="70">
        <f t="shared" si="32"/>
        <v>-5.5500300562872251E-2</v>
      </c>
      <c r="L19" s="70">
        <f t="shared" si="32"/>
        <v>-5.5500300562872251E-2</v>
      </c>
      <c r="M19" s="80"/>
    </row>
    <row r="20" spans="1:13">
      <c r="A20" s="80"/>
      <c r="C20" s="66" t="s">
        <v>134</v>
      </c>
      <c r="D20" s="60"/>
      <c r="E20" s="61"/>
      <c r="F20" s="69">
        <f t="shared" ref="F20:I20" si="33">F15/F18</f>
        <v>16.616330976358832</v>
      </c>
      <c r="G20" s="69">
        <f t="shared" si="33"/>
        <v>18.264753483241563</v>
      </c>
      <c r="H20" s="69">
        <f t="shared" si="33"/>
        <v>23.494606262637301</v>
      </c>
      <c r="I20" s="69">
        <f t="shared" si="33"/>
        <v>25.773204346367034</v>
      </c>
      <c r="J20" s="71">
        <f t="shared" ref="J20" si="34">I20*(1+J21)</f>
        <v>28.272789714120055</v>
      </c>
      <c r="K20" s="71">
        <f t="shared" ref="K20" si="35">J20*(1+K21)</f>
        <v>31.014794570219149</v>
      </c>
      <c r="L20" s="71">
        <f t="shared" ref="L20" si="36">K20*(1+L21)</f>
        <v>34.022729697327755</v>
      </c>
      <c r="M20" s="80"/>
    </row>
    <row r="21" spans="1:13">
      <c r="A21" s="80"/>
      <c r="C21" s="59" t="s">
        <v>133</v>
      </c>
      <c r="D21" s="60"/>
      <c r="E21" s="61"/>
      <c r="F21" s="61"/>
      <c r="G21" s="61">
        <f t="shared" ref="G21" si="37">G20/F20-1</f>
        <v>9.9204963431942517E-2</v>
      </c>
      <c r="H21" s="61">
        <f t="shared" ref="H21" si="38">H20/G20-1</f>
        <v>0.28633579884854621</v>
      </c>
      <c r="I21" s="61">
        <f t="shared" ref="I21" si="39">I20/H20-1</f>
        <v>9.698388039612782E-2</v>
      </c>
      <c r="J21" s="70">
        <f t="shared" ref="J21:L21" si="40">I21</f>
        <v>9.698388039612782E-2</v>
      </c>
      <c r="K21" s="70">
        <f t="shared" si="40"/>
        <v>9.698388039612782E-2</v>
      </c>
      <c r="L21" s="70">
        <f t="shared" si="40"/>
        <v>9.698388039612782E-2</v>
      </c>
      <c r="M21" s="80"/>
    </row>
    <row r="22" spans="1:13">
      <c r="A22" s="80"/>
      <c r="C22" s="62" t="s">
        <v>126</v>
      </c>
      <c r="D22" s="63">
        <v>4141422</v>
      </c>
      <c r="E22" s="63">
        <v>4402543</v>
      </c>
      <c r="F22" s="63">
        <v>4882049</v>
      </c>
      <c r="G22" s="63">
        <v>5541373</v>
      </c>
      <c r="H22" s="63">
        <v>6041772</v>
      </c>
      <c r="I22" s="63">
        <v>6333316</v>
      </c>
      <c r="J22" s="40">
        <f t="shared" ref="J22:L22" si="41">SUM(J8,J15)</f>
        <v>6639421.2796003129</v>
      </c>
      <c r="K22" s="40">
        <f t="shared" si="41"/>
        <v>6960835.3773377649</v>
      </c>
      <c r="L22" s="40">
        <f t="shared" si="41"/>
        <v>7298345.0137815047</v>
      </c>
      <c r="M22" s="80"/>
    </row>
    <row r="23" spans="1:13" ht="17.399999999999999">
      <c r="A23" s="80"/>
      <c r="C23" s="8"/>
      <c r="D23" s="55"/>
      <c r="E23" s="55"/>
      <c r="F23" s="55"/>
      <c r="G23" s="55"/>
      <c r="H23" s="8"/>
      <c r="I23" s="8"/>
      <c r="J23" s="4"/>
      <c r="K23" s="4"/>
      <c r="L23" s="4"/>
      <c r="M23" s="80"/>
    </row>
    <row r="24" spans="1:13" ht="17.399999999999999">
      <c r="A24" s="80"/>
      <c r="C24" s="18" t="s">
        <v>127</v>
      </c>
      <c r="D24" s="55"/>
      <c r="E24" s="55"/>
      <c r="F24" s="55"/>
      <c r="G24" s="55"/>
      <c r="H24" s="8"/>
      <c r="I24" s="8"/>
      <c r="J24" s="4"/>
      <c r="K24" s="4"/>
      <c r="L24" s="4"/>
      <c r="M24" s="80"/>
    </row>
    <row r="25" spans="1:13">
      <c r="A25" s="80"/>
      <c r="C25" s="13" t="s">
        <v>128</v>
      </c>
      <c r="D25" s="16">
        <v>342062</v>
      </c>
      <c r="E25" s="16">
        <v>329574</v>
      </c>
      <c r="F25" s="16">
        <v>347185</v>
      </c>
      <c r="G25" s="16">
        <v>349837</v>
      </c>
      <c r="H25" s="16">
        <v>353819</v>
      </c>
      <c r="I25" s="16">
        <v>345586</v>
      </c>
      <c r="J25" s="33">
        <v>346462.38597479166</v>
      </c>
      <c r="K25" s="33">
        <v>347340.99441338918</v>
      </c>
      <c r="L25" s="33">
        <f t="shared" ref="L25" si="42">K25*(1+L27)</f>
        <v>348221.83095183136</v>
      </c>
      <c r="M25" s="80"/>
    </row>
    <row r="26" spans="1:13">
      <c r="A26" s="80"/>
      <c r="C26" s="59" t="s">
        <v>132</v>
      </c>
      <c r="D26" s="61">
        <f t="shared" ref="D26" si="43">D25/D$33</f>
        <v>7.0870926618584004E-2</v>
      </c>
      <c r="E26" s="61">
        <f t="shared" ref="E26" si="44">E25/E$33</f>
        <v>6.5817955460335656E-2</v>
      </c>
      <c r="F26" s="61">
        <f t="shared" ref="F26" si="45">F25/F$33</f>
        <v>6.241287975617657E-2</v>
      </c>
      <c r="G26" s="61">
        <f t="shared" ref="G26" si="46">G25/G$33</f>
        <v>5.6416614403228406E-2</v>
      </c>
      <c r="H26" s="61">
        <f t="shared" ref="H26" si="47">H25/H$33</f>
        <v>5.3175015156620417E-2</v>
      </c>
      <c r="I26" s="61">
        <f t="shared" ref="I26:L26" si="48">I25/I$33</f>
        <v>5.0086989087666796E-2</v>
      </c>
      <c r="J26" s="70">
        <f t="shared" si="48"/>
        <v>4.8183859692024343E-2</v>
      </c>
      <c r="K26" s="70">
        <f t="shared" si="48"/>
        <v>4.6326694170885072E-2</v>
      </c>
      <c r="L26" s="70">
        <f t="shared" si="48"/>
        <v>4.4517863175907488E-2</v>
      </c>
      <c r="M26" s="80"/>
    </row>
    <row r="27" spans="1:13">
      <c r="A27" s="80"/>
      <c r="C27" s="59" t="s">
        <v>133</v>
      </c>
      <c r="D27" s="60"/>
      <c r="E27" s="61">
        <f t="shared" ref="E27:I27" si="49">E25/D25-1</f>
        <v>-3.6508001473417151E-2</v>
      </c>
      <c r="F27" s="61">
        <f t="shared" si="49"/>
        <v>5.3435647229453709E-2</v>
      </c>
      <c r="G27" s="61">
        <f t="shared" si="49"/>
        <v>7.6385788556532219E-3</v>
      </c>
      <c r="H27" s="61">
        <f t="shared" si="49"/>
        <v>1.1382443823837907E-2</v>
      </c>
      <c r="I27" s="61">
        <f t="shared" si="49"/>
        <v>-2.3268959552765645E-2</v>
      </c>
      <c r="J27" s="70">
        <f t="shared" ref="J27:L27" si="50">AVERAGE($E$27:$I$27)</f>
        <v>2.5359417765524082E-3</v>
      </c>
      <c r="K27" s="70">
        <f t="shared" si="50"/>
        <v>2.5359417765524082E-3</v>
      </c>
      <c r="L27" s="70">
        <f t="shared" si="50"/>
        <v>2.5359417765524082E-3</v>
      </c>
      <c r="M27" s="80"/>
    </row>
    <row r="28" spans="1:13">
      <c r="A28" s="80"/>
      <c r="C28" s="13" t="s">
        <v>129</v>
      </c>
      <c r="D28" s="16">
        <v>343065</v>
      </c>
      <c r="E28" s="16">
        <v>275240</v>
      </c>
      <c r="F28" s="16">
        <v>333480</v>
      </c>
      <c r="G28" s="16">
        <v>309747</v>
      </c>
      <c r="H28" s="16">
        <v>258267</v>
      </c>
      <c r="I28" s="16">
        <v>220814</v>
      </c>
      <c r="J28" s="33">
        <v>204540.43472045613</v>
      </c>
      <c r="K28" s="33">
        <v>189466.1997682809</v>
      </c>
      <c r="L28" s="33">
        <f t="shared" ref="L28" si="51">K28*(1+L30)</f>
        <v>175502.90681495267</v>
      </c>
      <c r="M28" s="80"/>
    </row>
    <row r="29" spans="1:13">
      <c r="A29" s="80"/>
      <c r="C29" s="59" t="s">
        <v>132</v>
      </c>
      <c r="D29" s="61">
        <f t="shared" ref="D29" si="52">D28/D$33</f>
        <v>7.1078735552047648E-2</v>
      </c>
      <c r="E29" s="61">
        <f t="shared" ref="E29" si="53">E28/E$33</f>
        <v>5.496712137760499E-2</v>
      </c>
      <c r="F29" s="61">
        <f t="shared" ref="F29" si="54">F28/F$33</f>
        <v>5.9949154315681159E-2</v>
      </c>
      <c r="G29" s="61">
        <f t="shared" ref="G29" si="55">G28/G$33</f>
        <v>4.9951483295239754E-2</v>
      </c>
      <c r="H29" s="61">
        <f t="shared" ref="H29" si="56">H28/H$33</f>
        <v>3.8814624538125099E-2</v>
      </c>
      <c r="I29" s="61">
        <f t="shared" ref="I29" si="57">I28/I$33</f>
        <v>3.2003346224685189E-2</v>
      </c>
      <c r="J29" s="70">
        <f t="shared" ref="J29" si="58">J28/J$33</f>
        <v>2.8446226796559684E-2</v>
      </c>
      <c r="K29" s="70">
        <f t="shared" ref="K29" si="59">K28/K$33</f>
        <v>2.5270102963828617E-2</v>
      </c>
      <c r="L29" s="70">
        <f t="shared" ref="L29" si="60">L28/L$33</f>
        <v>2.2436888494917078E-2</v>
      </c>
      <c r="M29" s="80"/>
    </row>
    <row r="30" spans="1:13">
      <c r="A30" s="80"/>
      <c r="C30" s="59" t="s">
        <v>133</v>
      </c>
      <c r="D30" s="60"/>
      <c r="E30" s="61">
        <f t="shared" ref="E30:I30" si="61">E28/D28-1</f>
        <v>-0.19770305918703457</v>
      </c>
      <c r="F30" s="61">
        <f t="shared" si="61"/>
        <v>0.21159715157680559</v>
      </c>
      <c r="G30" s="61">
        <f t="shared" si="61"/>
        <v>-7.1167686218064019E-2</v>
      </c>
      <c r="H30" s="61">
        <f t="shared" si="61"/>
        <v>-0.16620015690224599</v>
      </c>
      <c r="I30" s="61">
        <f t="shared" si="61"/>
        <v>-0.14501659135700651</v>
      </c>
      <c r="J30" s="70">
        <f t="shared" ref="J30:L30" si="62">AVERAGE($E$30:$I$30)</f>
        <v>-7.3698068417509102E-2</v>
      </c>
      <c r="K30" s="70">
        <f t="shared" si="62"/>
        <v>-7.3698068417509102E-2</v>
      </c>
      <c r="L30" s="70">
        <f t="shared" si="62"/>
        <v>-7.3698068417509102E-2</v>
      </c>
      <c r="M30" s="80"/>
    </row>
    <row r="31" spans="1:13">
      <c r="A31" s="80"/>
      <c r="C31" s="62" t="s">
        <v>130</v>
      </c>
      <c r="D31" s="63">
        <v>685127</v>
      </c>
      <c r="E31" s="63">
        <v>604814</v>
      </c>
      <c r="F31" s="63">
        <v>680665</v>
      </c>
      <c r="G31" s="63">
        <v>659584</v>
      </c>
      <c r="H31" s="63">
        <v>612086</v>
      </c>
      <c r="I31" s="63">
        <v>566400</v>
      </c>
      <c r="J31" s="58">
        <f t="shared" ref="J31:L31" si="63">SUM(J25,J28)</f>
        <v>551002.82069524773</v>
      </c>
      <c r="K31" s="58">
        <f t="shared" si="63"/>
        <v>536807.19418167009</v>
      </c>
      <c r="L31" s="58">
        <f t="shared" si="63"/>
        <v>523724.73776678403</v>
      </c>
      <c r="M31" s="80"/>
    </row>
    <row r="32" spans="1:13" ht="17.399999999999999">
      <c r="A32" s="80"/>
      <c r="C32" s="8"/>
      <c r="D32" s="55"/>
      <c r="E32" s="55"/>
      <c r="F32" s="55"/>
      <c r="G32" s="55"/>
      <c r="H32" s="8"/>
      <c r="I32" s="8"/>
      <c r="J32" s="4"/>
      <c r="K32" s="4"/>
      <c r="L32" s="4"/>
      <c r="M32" s="80"/>
    </row>
    <row r="33" spans="1:13" ht="15" thickBot="1">
      <c r="A33" s="80"/>
      <c r="C33" s="82" t="s">
        <v>122</v>
      </c>
      <c r="D33" s="64">
        <v>4826549</v>
      </c>
      <c r="E33" s="64">
        <v>5007357</v>
      </c>
      <c r="F33" s="64">
        <v>5562714</v>
      </c>
      <c r="G33" s="65">
        <v>6200957</v>
      </c>
      <c r="H33" s="65">
        <v>6653858</v>
      </c>
      <c r="I33" s="64">
        <v>6899716</v>
      </c>
      <c r="J33" s="38">
        <f t="shared" ref="J33:L33" si="64">SUM(J22,J31)</f>
        <v>7190424.1002955604</v>
      </c>
      <c r="K33" s="38">
        <f t="shared" si="64"/>
        <v>7497642.5715194354</v>
      </c>
      <c r="L33" s="38">
        <f t="shared" si="64"/>
        <v>7822069.7515482884</v>
      </c>
      <c r="M33" s="80"/>
    </row>
    <row r="34" spans="1:13" ht="15" thickTop="1">
      <c r="A34" s="80"/>
      <c r="C34" s="264" t="s">
        <v>504</v>
      </c>
      <c r="E34" s="74">
        <f t="shared" ref="E34:L34" si="65">E33/D33-1</f>
        <v>3.7461134238977012E-2</v>
      </c>
      <c r="F34" s="74">
        <f t="shared" si="65"/>
        <v>0.11090820966030579</v>
      </c>
      <c r="G34" s="74">
        <f t="shared" si="65"/>
        <v>0.11473590049749105</v>
      </c>
      <c r="H34" s="74">
        <f t="shared" si="65"/>
        <v>7.3037274730336055E-2</v>
      </c>
      <c r="I34" s="74">
        <f t="shared" si="65"/>
        <v>3.6949691442167865E-2</v>
      </c>
      <c r="J34" s="73">
        <f t="shared" si="65"/>
        <v>4.2133342922456629E-2</v>
      </c>
      <c r="K34" s="73">
        <f t="shared" si="65"/>
        <v>4.2726057175298759E-2</v>
      </c>
      <c r="L34" s="73">
        <f t="shared" si="65"/>
        <v>4.3270558303382334E-2</v>
      </c>
      <c r="M34" s="80"/>
    </row>
    <row r="35" spans="1:13">
      <c r="A35" s="80"/>
      <c r="J35" s="4"/>
      <c r="K35" s="4"/>
      <c r="L35" s="4"/>
      <c r="M35" s="80"/>
    </row>
    <row r="36" spans="1:13">
      <c r="A36" s="80"/>
      <c r="J36" s="4"/>
      <c r="K36" s="4"/>
      <c r="L36" s="4"/>
      <c r="M36" s="80"/>
    </row>
    <row r="37" spans="1:13">
      <c r="A37" s="80"/>
      <c r="J37" s="4"/>
      <c r="K37" s="4"/>
      <c r="L37" s="4"/>
      <c r="M37" s="80"/>
    </row>
    <row r="38" spans="1:13">
      <c r="A38" s="80"/>
      <c r="J38" s="4"/>
      <c r="K38" s="4"/>
      <c r="L38" s="4"/>
      <c r="M38" s="80"/>
    </row>
    <row r="39" spans="1:13">
      <c r="A39" s="80"/>
      <c r="J39" s="4"/>
      <c r="K39" s="4"/>
      <c r="L39" s="4"/>
      <c r="M39" s="80"/>
    </row>
    <row r="40" spans="1:13">
      <c r="A40" s="80"/>
      <c r="J40" s="4"/>
      <c r="K40" s="4"/>
      <c r="L40" s="4"/>
      <c r="M40" s="80"/>
    </row>
    <row r="41" spans="1:13">
      <c r="A41" s="80"/>
      <c r="J41" s="4"/>
      <c r="K41" s="4"/>
      <c r="L41" s="4"/>
      <c r="M41" s="80"/>
    </row>
    <row r="42" spans="1:13">
      <c r="A42" s="80"/>
      <c r="J42" s="4"/>
      <c r="K42" s="4"/>
      <c r="L42" s="4"/>
      <c r="M42" s="80"/>
    </row>
    <row r="43" spans="1:13">
      <c r="A43" s="80"/>
      <c r="J43" s="4"/>
      <c r="K43" s="4"/>
      <c r="L43" s="4"/>
      <c r="M43" s="80"/>
    </row>
    <row r="44" spans="1:13">
      <c r="A44" s="80"/>
      <c r="J44" s="4"/>
      <c r="K44" s="4"/>
      <c r="L44" s="4"/>
      <c r="M44" s="80"/>
    </row>
    <row r="45" spans="1:13">
      <c r="A45" s="80"/>
      <c r="J45" s="4"/>
      <c r="K45" s="4"/>
      <c r="L45" s="4"/>
      <c r="M45" s="80"/>
    </row>
    <row r="46" spans="1:13">
      <c r="A46" s="80"/>
      <c r="J46" s="4"/>
      <c r="K46" s="4"/>
      <c r="L46" s="4"/>
      <c r="M46" s="80"/>
    </row>
    <row r="47" spans="1:13">
      <c r="A47" s="80"/>
      <c r="J47" s="4"/>
      <c r="K47" s="4"/>
      <c r="L47" s="4"/>
      <c r="M47" s="80"/>
    </row>
    <row r="48" spans="1:13">
      <c r="A48" s="80"/>
      <c r="J48" s="4"/>
      <c r="K48" s="4"/>
      <c r="L48" s="4"/>
      <c r="M48" s="80"/>
    </row>
    <row r="49" spans="1:13">
      <c r="A49" s="80"/>
      <c r="J49" s="4"/>
      <c r="K49" s="4"/>
      <c r="L49" s="4"/>
      <c r="M49" s="80"/>
    </row>
    <row r="50" spans="1:13">
      <c r="A50" s="80"/>
      <c r="J50" s="4"/>
      <c r="K50" s="4"/>
      <c r="L50" s="4"/>
      <c r="M50" s="80"/>
    </row>
    <row r="51" spans="1:13">
      <c r="A51" s="80"/>
      <c r="J51" s="4"/>
      <c r="K51" s="4"/>
      <c r="L51" s="4"/>
      <c r="M51" s="80"/>
    </row>
    <row r="52" spans="1:13">
      <c r="A52" s="80"/>
      <c r="J52" s="4"/>
      <c r="K52" s="4"/>
      <c r="L52" s="4"/>
      <c r="M52" s="80"/>
    </row>
    <row r="53" spans="1:13">
      <c r="A53" s="80"/>
      <c r="J53" s="4"/>
      <c r="K53" s="4"/>
      <c r="L53" s="4"/>
      <c r="M53" s="80"/>
    </row>
    <row r="54" spans="1:13">
      <c r="A54" s="80"/>
      <c r="J54" s="4"/>
      <c r="K54" s="4"/>
      <c r="L54" s="4"/>
      <c r="M54" s="80"/>
    </row>
    <row r="55" spans="1:13">
      <c r="A55" s="80"/>
      <c r="J55" s="4"/>
      <c r="K55" s="4"/>
      <c r="L55" s="4"/>
      <c r="M55" s="80"/>
    </row>
    <row r="56" spans="1:13">
      <c r="A56" s="80"/>
      <c r="J56" s="4"/>
      <c r="K56" s="4"/>
      <c r="L56" s="4"/>
      <c r="M56" s="80"/>
    </row>
    <row r="57" spans="1:13">
      <c r="A57" s="80"/>
      <c r="J57" s="4"/>
      <c r="K57" s="4"/>
      <c r="L57" s="4"/>
      <c r="M57" s="80"/>
    </row>
    <row r="58" spans="1:13">
      <c r="A58" s="80"/>
      <c r="J58" s="4"/>
      <c r="K58" s="4"/>
      <c r="L58" s="4"/>
      <c r="M58" s="80"/>
    </row>
    <row r="59" spans="1:13">
      <c r="A59" s="80"/>
      <c r="J59" s="4"/>
      <c r="K59" s="4"/>
      <c r="L59" s="4"/>
      <c r="M59" s="80"/>
    </row>
    <row r="60" spans="1:13">
      <c r="A60" s="80"/>
      <c r="J60" s="4"/>
      <c r="K60" s="4"/>
      <c r="L60" s="4"/>
      <c r="M60" s="80"/>
    </row>
    <row r="61" spans="1:13">
      <c r="A61" s="80"/>
      <c r="J61" s="4"/>
      <c r="K61" s="4"/>
      <c r="L61" s="4"/>
      <c r="M61" s="80"/>
    </row>
    <row r="62" spans="1:13">
      <c r="A62" s="80"/>
      <c r="J62" s="4"/>
      <c r="K62" s="4"/>
      <c r="L62" s="4"/>
      <c r="M62" s="80"/>
    </row>
    <row r="63" spans="1:13">
      <c r="A63" s="80"/>
      <c r="J63" s="4"/>
      <c r="K63" s="4"/>
      <c r="L63" s="4"/>
      <c r="M63" s="80"/>
    </row>
    <row r="64" spans="1:13">
      <c r="A64" s="80"/>
      <c r="J64" s="4"/>
      <c r="K64" s="4"/>
      <c r="L64" s="4"/>
      <c r="M64" s="80"/>
    </row>
    <row r="65" spans="1:13">
      <c r="A65" s="80"/>
      <c r="J65" s="4"/>
      <c r="K65" s="4"/>
      <c r="L65" s="4"/>
      <c r="M65" s="80"/>
    </row>
    <row r="66" spans="1:13">
      <c r="A66" s="80"/>
      <c r="J66" s="4"/>
      <c r="K66" s="4"/>
      <c r="L66" s="4"/>
      <c r="M66" s="80"/>
    </row>
    <row r="67" spans="1:13">
      <c r="A67" s="80"/>
      <c r="J67" s="4"/>
      <c r="K67" s="4"/>
      <c r="L67" s="4"/>
      <c r="M67" s="80"/>
    </row>
    <row r="68" spans="1:13">
      <c r="A68" s="80"/>
      <c r="J68" s="4"/>
      <c r="K68" s="4"/>
      <c r="L68" s="4"/>
      <c r="M68" s="80"/>
    </row>
    <row r="69" spans="1:13">
      <c r="A69" s="80"/>
      <c r="J69" s="4"/>
      <c r="K69" s="4"/>
      <c r="L69" s="4"/>
      <c r="M69" s="80"/>
    </row>
    <row r="70" spans="1:13">
      <c r="A70" s="80"/>
      <c r="J70" s="4"/>
      <c r="K70" s="4"/>
      <c r="L70" s="4"/>
      <c r="M70" s="80"/>
    </row>
    <row r="71" spans="1:13">
      <c r="A71" s="80"/>
      <c r="J71" s="4"/>
      <c r="K71" s="4"/>
      <c r="L71" s="4"/>
      <c r="M71" s="80"/>
    </row>
    <row r="72" spans="1:13">
      <c r="A72" s="80"/>
      <c r="J72" s="4"/>
      <c r="K72" s="4"/>
      <c r="L72" s="4"/>
      <c r="M72" s="80"/>
    </row>
    <row r="73" spans="1:13">
      <c r="A73" s="80"/>
      <c r="J73" s="4"/>
      <c r="K73" s="4"/>
      <c r="L73" s="4"/>
      <c r="M73" s="80"/>
    </row>
    <row r="74" spans="1:13">
      <c r="A74" s="80"/>
      <c r="J74" s="4"/>
      <c r="K74" s="4"/>
      <c r="L74" s="4"/>
      <c r="M74" s="80"/>
    </row>
    <row r="75" spans="1:13">
      <c r="A75" s="80"/>
      <c r="J75" s="4"/>
      <c r="K75" s="4"/>
      <c r="L75" s="4"/>
      <c r="M75" s="80"/>
    </row>
    <row r="76" spans="1:13">
      <c r="A76" s="80"/>
      <c r="J76" s="4"/>
      <c r="K76" s="4"/>
      <c r="L76" s="4"/>
      <c r="M76" s="80"/>
    </row>
    <row r="77" spans="1:13">
      <c r="A77" s="80"/>
      <c r="J77" s="4"/>
      <c r="K77" s="4"/>
      <c r="L77" s="4"/>
      <c r="M77" s="80"/>
    </row>
    <row r="78" spans="1:13">
      <c r="A78" s="80"/>
      <c r="J78" s="4"/>
      <c r="K78" s="4"/>
      <c r="L78" s="4"/>
      <c r="M78" s="80"/>
    </row>
    <row r="79" spans="1:13">
      <c r="A79" s="80"/>
      <c r="J79" s="4"/>
      <c r="K79" s="4"/>
      <c r="L79" s="4"/>
      <c r="M79" s="80"/>
    </row>
    <row r="80" spans="1:13">
      <c r="A80" s="80"/>
      <c r="J80" s="4"/>
      <c r="K80" s="4"/>
      <c r="L80" s="4"/>
      <c r="M80" s="80"/>
    </row>
    <row r="81" spans="1:13">
      <c r="A81" s="80"/>
      <c r="J81" s="4"/>
      <c r="K81" s="4"/>
      <c r="L81" s="4"/>
      <c r="M81" s="80"/>
    </row>
    <row r="82" spans="1:13">
      <c r="A82" s="80"/>
      <c r="J82" s="4"/>
      <c r="K82" s="4"/>
      <c r="L82" s="4"/>
      <c r="M82" s="80"/>
    </row>
    <row r="83" spans="1:13">
      <c r="A83" s="80"/>
      <c r="J83" s="4"/>
      <c r="K83" s="4"/>
      <c r="L83" s="4"/>
      <c r="M83" s="80"/>
    </row>
    <row r="84" spans="1:13">
      <c r="A84" s="80"/>
      <c r="J84" s="4"/>
      <c r="K84" s="4"/>
      <c r="L84" s="4"/>
      <c r="M84" s="80"/>
    </row>
    <row r="85" spans="1:13">
      <c r="A85" s="80"/>
      <c r="J85" s="4"/>
      <c r="K85" s="4"/>
      <c r="L85" s="4"/>
      <c r="M85" s="80"/>
    </row>
    <row r="86" spans="1:13">
      <c r="A86" s="80"/>
      <c r="J86" s="4"/>
      <c r="K86" s="4"/>
      <c r="L86" s="4"/>
      <c r="M86" s="80"/>
    </row>
    <row r="87" spans="1:13">
      <c r="A87" s="80"/>
      <c r="J87" s="4"/>
      <c r="K87" s="4"/>
      <c r="L87" s="4"/>
      <c r="M87" s="80"/>
    </row>
    <row r="88" spans="1:13">
      <c r="A88" s="80"/>
      <c r="J88" s="4"/>
      <c r="K88" s="4"/>
      <c r="L88" s="4"/>
      <c r="M88" s="80"/>
    </row>
    <row r="89" spans="1:13">
      <c r="A89" s="80"/>
      <c r="J89" s="4"/>
      <c r="K89" s="4"/>
      <c r="L89" s="4"/>
      <c r="M89" s="80"/>
    </row>
    <row r="90" spans="1:13">
      <c r="A90" s="80"/>
      <c r="J90" s="4"/>
      <c r="K90" s="4"/>
      <c r="L90" s="4"/>
      <c r="M90" s="80"/>
    </row>
    <row r="91" spans="1:13">
      <c r="A91" s="80"/>
      <c r="J91" s="4"/>
      <c r="K91" s="4"/>
      <c r="L91" s="4"/>
      <c r="M91" s="80"/>
    </row>
    <row r="92" spans="1:13">
      <c r="A92" s="80"/>
      <c r="J92" s="4"/>
      <c r="K92" s="4"/>
      <c r="L92" s="4"/>
      <c r="M92" s="80"/>
    </row>
    <row r="93" spans="1:13">
      <c r="A93" s="80"/>
      <c r="J93" s="4"/>
      <c r="K93" s="4"/>
      <c r="L93" s="4"/>
      <c r="M93" s="80"/>
    </row>
    <row r="94" spans="1:13">
      <c r="A94" s="80"/>
      <c r="J94" s="4"/>
      <c r="K94" s="4"/>
      <c r="L94" s="4"/>
      <c r="M94" s="80"/>
    </row>
    <row r="95" spans="1:13">
      <c r="A95" s="80"/>
      <c r="J95" s="4"/>
      <c r="K95" s="4"/>
      <c r="L95" s="4"/>
      <c r="M95" s="80"/>
    </row>
    <row r="96" spans="1:13">
      <c r="A96" s="80"/>
      <c r="J96" s="4"/>
      <c r="K96" s="4"/>
      <c r="L96" s="4"/>
      <c r="M96" s="80"/>
    </row>
    <row r="97" spans="1:13">
      <c r="A97" s="80"/>
      <c r="J97" s="4"/>
      <c r="K97" s="4"/>
      <c r="L97" s="4"/>
      <c r="M97" s="80"/>
    </row>
    <row r="98" spans="1:13">
      <c r="A98" s="80"/>
      <c r="J98" s="4"/>
      <c r="K98" s="4"/>
      <c r="L98" s="4"/>
      <c r="M98" s="80"/>
    </row>
    <row r="99" spans="1:13">
      <c r="A99" s="80"/>
      <c r="J99" s="4"/>
      <c r="K99" s="4"/>
      <c r="L99" s="4"/>
      <c r="M99" s="80"/>
    </row>
    <row r="100" spans="1:13">
      <c r="A100" s="80"/>
      <c r="J100" s="4"/>
      <c r="K100" s="4"/>
      <c r="L100" s="4"/>
      <c r="M100" s="80"/>
    </row>
    <row r="101" spans="1:13">
      <c r="A101" s="80"/>
      <c r="J101" s="4"/>
      <c r="K101" s="4"/>
      <c r="L101" s="4"/>
      <c r="M101" s="80"/>
    </row>
    <row r="102" spans="1:13">
      <c r="A102" s="80"/>
      <c r="J102" s="4"/>
      <c r="K102" s="4"/>
      <c r="L102" s="4"/>
      <c r="M102" s="80"/>
    </row>
    <row r="103" spans="1:13">
      <c r="A103" s="80"/>
      <c r="J103" s="4"/>
      <c r="K103" s="4"/>
      <c r="L103" s="4"/>
      <c r="M103" s="80"/>
    </row>
    <row r="104" spans="1:13">
      <c r="A104" s="80"/>
      <c r="J104" s="4"/>
      <c r="K104" s="4"/>
      <c r="L104" s="4"/>
      <c r="M104" s="80"/>
    </row>
    <row r="105" spans="1:13">
      <c r="A105" s="80"/>
      <c r="J105" s="4"/>
      <c r="K105" s="4"/>
      <c r="L105" s="4"/>
      <c r="M105" s="80"/>
    </row>
    <row r="106" spans="1:13">
      <c r="A106" s="80"/>
      <c r="J106" s="4"/>
      <c r="K106" s="4"/>
      <c r="L106" s="4"/>
      <c r="M106" s="80"/>
    </row>
    <row r="107" spans="1:13">
      <c r="A107" s="80"/>
      <c r="J107" s="4"/>
      <c r="K107" s="4"/>
      <c r="L107" s="4"/>
      <c r="M107" s="80"/>
    </row>
    <row r="108" spans="1:13">
      <c r="A108" s="80"/>
      <c r="J108" s="4"/>
      <c r="K108" s="4"/>
      <c r="L108" s="4"/>
      <c r="M108" s="80"/>
    </row>
    <row r="109" spans="1:13">
      <c r="A109" s="80"/>
      <c r="J109" s="4"/>
      <c r="K109" s="4"/>
      <c r="L109" s="4"/>
      <c r="M109" s="80"/>
    </row>
    <row r="110" spans="1:13">
      <c r="A110" s="80"/>
      <c r="J110" s="4"/>
      <c r="K110" s="4"/>
      <c r="L110" s="4"/>
      <c r="M110" s="80"/>
    </row>
    <row r="111" spans="1:13">
      <c r="A111" s="80"/>
      <c r="J111" s="4"/>
      <c r="K111" s="4"/>
      <c r="L111" s="4"/>
      <c r="M111" s="80"/>
    </row>
    <row r="112" spans="1:13">
      <c r="A112" s="80"/>
      <c r="J112" s="4"/>
      <c r="K112" s="4"/>
      <c r="L112" s="4"/>
      <c r="M112" s="80"/>
    </row>
    <row r="113" spans="1:13">
      <c r="A113" s="80"/>
      <c r="J113" s="4"/>
      <c r="K113" s="4"/>
      <c r="L113" s="4"/>
      <c r="M113" s="80"/>
    </row>
    <row r="114" spans="1:13" s="80" customFormat="1"/>
  </sheetData>
  <mergeCells count="5">
    <mergeCell ref="B2:C2"/>
    <mergeCell ref="G3:I3"/>
    <mergeCell ref="J3:L3"/>
    <mergeCell ref="B4:C4"/>
    <mergeCell ref="B3:C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86D5-6178-465C-B89D-ABA42DA36992}">
  <dimension ref="C5:G9"/>
  <sheetViews>
    <sheetView workbookViewId="0">
      <selection activeCell="O19" sqref="O19"/>
    </sheetView>
  </sheetViews>
  <sheetFormatPr defaultRowHeight="14.4"/>
  <cols>
    <col min="3" max="3" width="26.77734375" bestFit="1" customWidth="1"/>
    <col min="4" max="7" width="11.6640625" bestFit="1" customWidth="1"/>
  </cols>
  <sheetData>
    <row r="5" spans="3:7">
      <c r="D5" s="265">
        <f>EDATE(E5,-12)</f>
        <v>45291</v>
      </c>
      <c r="E5" s="265">
        <f>LHY</f>
        <v>45657</v>
      </c>
      <c r="F5" s="265">
        <f>EDATE(E5,12)</f>
        <v>46022</v>
      </c>
      <c r="G5" s="265">
        <f t="shared" ref="G5" si="0">EDATE(F5,12)</f>
        <v>46387</v>
      </c>
    </row>
    <row r="6" spans="3:7">
      <c r="C6" s="13" t="s">
        <v>124</v>
      </c>
      <c r="D6" s="16">
        <v>3892133</v>
      </c>
      <c r="E6" s="16">
        <v>4106073</v>
      </c>
      <c r="F6" s="129">
        <v>4331772.7018395821</v>
      </c>
      <c r="G6" s="129">
        <v>4569878.5044500176</v>
      </c>
    </row>
    <row r="7" spans="3:7">
      <c r="C7" s="13" t="s">
        <v>125</v>
      </c>
      <c r="D7" s="16">
        <v>2149639</v>
      </c>
      <c r="E7" s="16">
        <v>2227243</v>
      </c>
      <c r="F7" s="129">
        <v>2307648.5777607309</v>
      </c>
      <c r="G7" s="129">
        <v>2390956.8728877474</v>
      </c>
    </row>
    <row r="8" spans="3:7">
      <c r="C8" s="13" t="s">
        <v>128</v>
      </c>
      <c r="D8" s="16">
        <v>353819</v>
      </c>
      <c r="E8" s="16">
        <v>345586</v>
      </c>
      <c r="F8" s="129">
        <v>346462.38597479166</v>
      </c>
      <c r="G8" s="129">
        <v>347340.99441338918</v>
      </c>
    </row>
    <row r="9" spans="3:7">
      <c r="C9" s="13" t="s">
        <v>129</v>
      </c>
      <c r="D9" s="16">
        <v>258267</v>
      </c>
      <c r="E9" s="16">
        <v>220814</v>
      </c>
      <c r="F9" s="129">
        <v>204540.43472045613</v>
      </c>
      <c r="G9" s="129">
        <v>189466.1997682809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B80C5-0C89-4081-83CE-6191D696B1D8}">
  <dimension ref="A3:N64"/>
  <sheetViews>
    <sheetView showGridLines="0" workbookViewId="0">
      <selection activeCell="K17" sqref="K17"/>
    </sheetView>
  </sheetViews>
  <sheetFormatPr defaultColWidth="0" defaultRowHeight="14.4"/>
  <cols>
    <col min="1" max="11" width="8.88671875" customWidth="1"/>
    <col min="12" max="12" width="10.77734375" bestFit="1" customWidth="1"/>
    <col min="13" max="13" width="7" bestFit="1" customWidth="1"/>
    <col min="14" max="14" width="8.88671875" customWidth="1"/>
    <col min="15" max="16384" width="8.88671875" hidden="1"/>
  </cols>
  <sheetData>
    <row r="3" spans="3:13">
      <c r="C3" s="276" t="s">
        <v>255</v>
      </c>
      <c r="D3" s="276"/>
      <c r="E3" s="276"/>
      <c r="G3" s="276" t="s">
        <v>250</v>
      </c>
      <c r="H3" s="276"/>
      <c r="I3" s="276"/>
    </row>
    <row r="4" spans="3:13">
      <c r="C4" s="114" t="s">
        <v>247</v>
      </c>
      <c r="D4" s="115" t="s">
        <v>248</v>
      </c>
      <c r="E4" s="116" t="s">
        <v>249</v>
      </c>
      <c r="G4" s="114" t="s">
        <v>247</v>
      </c>
      <c r="H4" s="115" t="s">
        <v>248</v>
      </c>
      <c r="I4" s="116" t="s">
        <v>251</v>
      </c>
    </row>
    <row r="5" spans="3:13">
      <c r="C5" s="114" t="s">
        <v>187</v>
      </c>
      <c r="D5" s="117">
        <v>117.19</v>
      </c>
      <c r="E5" s="120">
        <f>D5/D6-1</f>
        <v>-4.2647560559538888E-4</v>
      </c>
      <c r="G5" s="114" t="s">
        <v>187</v>
      </c>
      <c r="H5" s="119">
        <v>6448.26</v>
      </c>
      <c r="I5" s="120">
        <f>H5/H6-1</f>
        <v>-1.8575103788391889E-3</v>
      </c>
      <c r="L5" t="s">
        <v>252</v>
      </c>
      <c r="M5" s="121">
        <f>SLOPE(E5:E63,I5:I63)</f>
        <v>0.67005995467344281</v>
      </c>
    </row>
    <row r="6" spans="3:13">
      <c r="C6" s="114" t="s">
        <v>188</v>
      </c>
      <c r="D6" s="115">
        <v>117.24</v>
      </c>
      <c r="E6" s="120">
        <f t="shared" ref="E6:E63" si="0">D6/D7-1</f>
        <v>5.1479820627802653E-2</v>
      </c>
      <c r="G6" s="114" t="s">
        <v>188</v>
      </c>
      <c r="H6" s="119">
        <v>6460.26</v>
      </c>
      <c r="I6" s="120">
        <f t="shared" ref="I6:I63" si="1">H6/H7-1</f>
        <v>1.9066503244002941E-2</v>
      </c>
    </row>
    <row r="7" spans="3:13">
      <c r="C7" s="114" t="s">
        <v>189</v>
      </c>
      <c r="D7" s="117">
        <v>111.5</v>
      </c>
      <c r="E7" s="120">
        <f t="shared" si="0"/>
        <v>8.9766606822250239E-4</v>
      </c>
      <c r="G7" s="114" t="s">
        <v>189</v>
      </c>
      <c r="H7" s="119">
        <v>6339.39</v>
      </c>
      <c r="I7" s="120">
        <f t="shared" si="1"/>
        <v>2.1666572655702376E-2</v>
      </c>
      <c r="L7" t="s">
        <v>253</v>
      </c>
      <c r="M7" s="121">
        <f>_xlfn.COVARIANCE.P(E5:E63,I5:I63)/_xlfn.VAR.P(I5:I63)</f>
        <v>0.67005995467344293</v>
      </c>
    </row>
    <row r="8" spans="3:13">
      <c r="C8" s="114" t="s">
        <v>190</v>
      </c>
      <c r="D8" s="115">
        <v>111.4</v>
      </c>
      <c r="E8" s="120">
        <f t="shared" si="0"/>
        <v>-2.6138648483258975E-2</v>
      </c>
      <c r="G8" s="114" t="s">
        <v>190</v>
      </c>
      <c r="H8" s="119">
        <v>6204.95</v>
      </c>
      <c r="I8" s="120">
        <f t="shared" si="1"/>
        <v>4.960679602617879E-2</v>
      </c>
    </row>
    <row r="9" spans="3:13">
      <c r="C9" s="114" t="s">
        <v>191</v>
      </c>
      <c r="D9" s="115">
        <v>114.39</v>
      </c>
      <c r="E9" s="120">
        <f t="shared" si="0"/>
        <v>-0.15285492112863808</v>
      </c>
      <c r="G9" s="114" t="s">
        <v>191</v>
      </c>
      <c r="H9" s="119">
        <v>5911.69</v>
      </c>
      <c r="I9" s="120">
        <f t="shared" si="1"/>
        <v>6.1523847830692979E-2</v>
      </c>
      <c r="L9" t="s">
        <v>254</v>
      </c>
      <c r="M9" s="122">
        <f>(H5/H64)^(1/4)-1</f>
        <v>0.18501821246574957</v>
      </c>
    </row>
    <row r="10" spans="3:13">
      <c r="C10" s="114" t="s">
        <v>192</v>
      </c>
      <c r="D10" s="115">
        <v>135.03</v>
      </c>
      <c r="E10" s="120">
        <f t="shared" si="0"/>
        <v>4.2391789379740974E-3</v>
      </c>
      <c r="G10" s="114" t="s">
        <v>192</v>
      </c>
      <c r="H10" s="119">
        <v>5569.06</v>
      </c>
      <c r="I10" s="120">
        <f t="shared" si="1"/>
        <v>-7.6249365182604611E-3</v>
      </c>
    </row>
    <row r="11" spans="3:13">
      <c r="C11" s="114" t="s">
        <v>193</v>
      </c>
      <c r="D11" s="117">
        <v>134.46</v>
      </c>
      <c r="E11" s="120">
        <f t="shared" si="0"/>
        <v>-4.732889329743506E-2</v>
      </c>
      <c r="G11" s="114" t="s">
        <v>193</v>
      </c>
      <c r="H11" s="119">
        <v>5611.85</v>
      </c>
      <c r="I11" s="120">
        <f t="shared" si="1"/>
        <v>-5.7544714081786852E-2</v>
      </c>
    </row>
    <row r="12" spans="3:13">
      <c r="C12" s="114" t="s">
        <v>194</v>
      </c>
      <c r="D12" s="115">
        <v>141.13999999999999</v>
      </c>
      <c r="E12" s="120">
        <f t="shared" si="0"/>
        <v>5.619995509990261E-2</v>
      </c>
      <c r="G12" s="114" t="s">
        <v>194</v>
      </c>
      <c r="H12" s="119">
        <v>5954.5</v>
      </c>
      <c r="I12" s="120">
        <f t="shared" si="1"/>
        <v>-1.4242127760312417E-2</v>
      </c>
    </row>
    <row r="13" spans="3:13">
      <c r="C13" s="114" t="s">
        <v>195</v>
      </c>
      <c r="D13" s="115">
        <v>133.63</v>
      </c>
      <c r="E13" s="120">
        <f t="shared" si="0"/>
        <v>8.5452034765656659E-2</v>
      </c>
      <c r="G13" s="114" t="s">
        <v>195</v>
      </c>
      <c r="H13" s="119">
        <v>6040.53</v>
      </c>
      <c r="I13" s="120">
        <f t="shared" si="1"/>
        <v>2.7016320305765618E-2</v>
      </c>
    </row>
    <row r="14" spans="3:13">
      <c r="C14" s="114" t="s">
        <v>196</v>
      </c>
      <c r="D14" s="117">
        <v>123.11</v>
      </c>
      <c r="E14" s="120">
        <f t="shared" si="0"/>
        <v>-3.3976773383552983E-2</v>
      </c>
      <c r="G14" s="114" t="s">
        <v>196</v>
      </c>
      <c r="H14" s="119">
        <v>5881.63</v>
      </c>
      <c r="I14" s="120">
        <f t="shared" si="1"/>
        <v>-2.4990136563014964E-2</v>
      </c>
    </row>
    <row r="15" spans="3:13">
      <c r="C15" s="114" t="s">
        <v>197</v>
      </c>
      <c r="D15" s="115">
        <v>127.44</v>
      </c>
      <c r="E15" s="120">
        <f t="shared" si="0"/>
        <v>0.16245553224482356</v>
      </c>
      <c r="G15" s="114" t="s">
        <v>197</v>
      </c>
      <c r="H15" s="119">
        <v>6032.38</v>
      </c>
      <c r="I15" s="120">
        <f t="shared" si="1"/>
        <v>5.7301352215863854E-2</v>
      </c>
    </row>
    <row r="16" spans="3:13">
      <c r="C16" s="114" t="s">
        <v>198</v>
      </c>
      <c r="D16" s="115">
        <v>109.63</v>
      </c>
      <c r="E16" s="120">
        <f t="shared" si="0"/>
        <v>-0.14598426423619237</v>
      </c>
      <c r="G16" s="114" t="s">
        <v>198</v>
      </c>
      <c r="H16" s="119">
        <v>5705.45</v>
      </c>
      <c r="I16" s="120">
        <f t="shared" si="1"/>
        <v>-9.8967805528175079E-3</v>
      </c>
    </row>
    <row r="17" spans="3:9">
      <c r="C17" s="114" t="s">
        <v>199</v>
      </c>
      <c r="D17" s="117">
        <v>128.37</v>
      </c>
      <c r="E17" s="120">
        <f t="shared" si="0"/>
        <v>-1.9327731092437017E-2</v>
      </c>
      <c r="G17" s="114" t="s">
        <v>199</v>
      </c>
      <c r="H17" s="119">
        <v>5762.48</v>
      </c>
      <c r="I17" s="120">
        <f t="shared" si="1"/>
        <v>2.0196869910062976E-2</v>
      </c>
    </row>
    <row r="18" spans="3:9">
      <c r="C18" s="114" t="s">
        <v>200</v>
      </c>
      <c r="D18" s="115">
        <v>130.9</v>
      </c>
      <c r="E18" s="120">
        <f t="shared" si="0"/>
        <v>0.17199391171993916</v>
      </c>
      <c r="G18" s="114" t="s">
        <v>200</v>
      </c>
      <c r="H18" s="119">
        <v>5648.4</v>
      </c>
      <c r="I18" s="120">
        <f t="shared" si="1"/>
        <v>2.2834688445031892E-2</v>
      </c>
    </row>
    <row r="19" spans="3:9">
      <c r="C19" s="114" t="s">
        <v>201</v>
      </c>
      <c r="D19" s="115">
        <v>111.69</v>
      </c>
      <c r="E19" s="120">
        <f t="shared" si="0"/>
        <v>5.617021276595735E-2</v>
      </c>
      <c r="G19" s="114" t="s">
        <v>201</v>
      </c>
      <c r="H19" s="119">
        <v>5522.3</v>
      </c>
      <c r="I19" s="120">
        <f t="shared" si="1"/>
        <v>1.1321349038912354E-2</v>
      </c>
    </row>
    <row r="20" spans="3:9">
      <c r="C20" s="114" t="s">
        <v>202</v>
      </c>
      <c r="D20" s="117">
        <v>105.75</v>
      </c>
      <c r="E20" s="120">
        <f t="shared" si="0"/>
        <v>0.10594017987868631</v>
      </c>
      <c r="G20" s="114" t="s">
        <v>202</v>
      </c>
      <c r="H20" s="119">
        <v>5460.48</v>
      </c>
      <c r="I20" s="120">
        <f t="shared" si="1"/>
        <v>3.4669759034089864E-2</v>
      </c>
    </row>
    <row r="21" spans="3:9">
      <c r="C21" s="114" t="s">
        <v>203</v>
      </c>
      <c r="D21" s="115">
        <v>95.62</v>
      </c>
      <c r="E21" s="120">
        <f t="shared" si="0"/>
        <v>0.19480194926902406</v>
      </c>
      <c r="G21" s="114" t="s">
        <v>203</v>
      </c>
      <c r="H21" s="119">
        <v>5277.51</v>
      </c>
      <c r="I21" s="120">
        <f t="shared" si="1"/>
        <v>4.8021224499522619E-2</v>
      </c>
    </row>
    <row r="22" spans="3:9">
      <c r="C22" s="114" t="s">
        <v>204</v>
      </c>
      <c r="D22" s="115">
        <v>80.03</v>
      </c>
      <c r="E22" s="120">
        <f t="shared" si="0"/>
        <v>-2.4143397146689449E-2</v>
      </c>
      <c r="G22" s="114" t="s">
        <v>204</v>
      </c>
      <c r="H22" s="119">
        <v>5035.6899999999996</v>
      </c>
      <c r="I22" s="120">
        <f t="shared" si="1"/>
        <v>-4.1615042774082567E-2</v>
      </c>
    </row>
    <row r="23" spans="3:9">
      <c r="C23" s="114" t="s">
        <v>205</v>
      </c>
      <c r="D23" s="117">
        <v>82.01</v>
      </c>
      <c r="E23" s="120">
        <f t="shared" si="0"/>
        <v>6.6282067018534896E-3</v>
      </c>
      <c r="G23" s="114" t="s">
        <v>205</v>
      </c>
      <c r="H23" s="119">
        <v>5254.35</v>
      </c>
      <c r="I23" s="120">
        <f t="shared" si="1"/>
        <v>3.1018764704381807E-2</v>
      </c>
    </row>
    <row r="24" spans="3:9">
      <c r="C24" s="114" t="s">
        <v>206</v>
      </c>
      <c r="D24" s="115">
        <v>81.47</v>
      </c>
      <c r="E24" s="120">
        <f t="shared" si="0"/>
        <v>-5.1288313591403289E-3</v>
      </c>
      <c r="G24" s="114" t="s">
        <v>206</v>
      </c>
      <c r="H24" s="119">
        <v>5096.2700000000004</v>
      </c>
      <c r="I24" s="120">
        <f t="shared" si="1"/>
        <v>5.1720615397315317E-2</v>
      </c>
    </row>
    <row r="25" spans="3:9">
      <c r="C25" s="114" t="s">
        <v>207</v>
      </c>
      <c r="D25" s="115">
        <v>81.89</v>
      </c>
      <c r="E25" s="120">
        <f t="shared" si="0"/>
        <v>-7.2173124858373017E-2</v>
      </c>
      <c r="G25" s="114" t="s">
        <v>207</v>
      </c>
      <c r="H25" s="119">
        <v>4845.6499999999996</v>
      </c>
      <c r="I25" s="120">
        <f t="shared" si="1"/>
        <v>1.5895744712075555E-2</v>
      </c>
    </row>
    <row r="26" spans="3:9">
      <c r="C26" s="114" t="s">
        <v>208</v>
      </c>
      <c r="D26" s="117">
        <v>88.26</v>
      </c>
      <c r="E26" s="120">
        <f t="shared" si="0"/>
        <v>0.26392667907776035</v>
      </c>
      <c r="G26" s="114" t="s">
        <v>208</v>
      </c>
      <c r="H26" s="119">
        <v>4769.83</v>
      </c>
      <c r="I26" s="120">
        <f t="shared" si="1"/>
        <v>4.4229169403213753E-2</v>
      </c>
    </row>
    <row r="27" spans="3:9">
      <c r="C27" s="114" t="s">
        <v>209</v>
      </c>
      <c r="D27" s="115">
        <v>69.83</v>
      </c>
      <c r="E27" s="120">
        <f t="shared" si="0"/>
        <v>0.16325170747959339</v>
      </c>
      <c r="G27" s="114" t="s">
        <v>209</v>
      </c>
      <c r="H27" s="119">
        <v>4567.8</v>
      </c>
      <c r="I27" s="120">
        <f t="shared" si="1"/>
        <v>8.9179264628737709E-2</v>
      </c>
    </row>
    <row r="28" spans="3:9">
      <c r="C28" s="114" t="s">
        <v>210</v>
      </c>
      <c r="D28" s="115">
        <v>60.03</v>
      </c>
      <c r="E28" s="120">
        <f t="shared" si="0"/>
        <v>1.6661112962346181E-4</v>
      </c>
      <c r="G28" s="114" t="s">
        <v>210</v>
      </c>
      <c r="H28" s="119">
        <v>4193.8</v>
      </c>
      <c r="I28" s="120">
        <f t="shared" si="1"/>
        <v>-2.1979687736850106E-2</v>
      </c>
    </row>
    <row r="29" spans="3:9">
      <c r="C29" s="114" t="s">
        <v>211</v>
      </c>
      <c r="D29" s="117">
        <v>60.02</v>
      </c>
      <c r="E29" s="120">
        <f t="shared" si="0"/>
        <v>-8.9502427184465994E-2</v>
      </c>
      <c r="G29" s="114" t="s">
        <v>211</v>
      </c>
      <c r="H29" s="119">
        <v>4288.05</v>
      </c>
      <c r="I29" s="120">
        <f t="shared" si="1"/>
        <v>-4.871929116215501E-2</v>
      </c>
    </row>
    <row r="30" spans="3:9">
      <c r="C30" s="114" t="s">
        <v>212</v>
      </c>
      <c r="D30" s="115">
        <v>65.92</v>
      </c>
      <c r="E30" s="120">
        <f t="shared" si="0"/>
        <v>0.10418760469011712</v>
      </c>
      <c r="G30" s="114" t="s">
        <v>212</v>
      </c>
      <c r="H30" s="119">
        <v>4507.66</v>
      </c>
      <c r="I30" s="120">
        <f t="shared" si="1"/>
        <v>-1.771643248143373E-2</v>
      </c>
    </row>
    <row r="31" spans="3:9">
      <c r="C31" s="114" t="s">
        <v>213</v>
      </c>
      <c r="D31" s="115">
        <v>59.7</v>
      </c>
      <c r="E31" s="120">
        <f t="shared" si="0"/>
        <v>-4.0040040040039138E-3</v>
      </c>
      <c r="G31" s="114" t="s">
        <v>213</v>
      </c>
      <c r="H31" s="119">
        <v>4588.96</v>
      </c>
      <c r="I31" s="120">
        <f t="shared" si="1"/>
        <v>3.1138913980379268E-2</v>
      </c>
    </row>
    <row r="32" spans="3:9">
      <c r="C32" s="114" t="s">
        <v>214</v>
      </c>
      <c r="D32" s="117">
        <v>59.94</v>
      </c>
      <c r="E32" s="120">
        <f t="shared" si="0"/>
        <v>-3.8961038961038974E-2</v>
      </c>
      <c r="G32" s="114" t="s">
        <v>214</v>
      </c>
      <c r="H32" s="119">
        <v>4450.38</v>
      </c>
      <c r="I32" s="120">
        <f t="shared" si="1"/>
        <v>6.4727512841431301E-2</v>
      </c>
    </row>
    <row r="33" spans="3:9">
      <c r="C33" s="114" t="s">
        <v>215</v>
      </c>
      <c r="D33" s="115">
        <v>62.37</v>
      </c>
      <c r="E33" s="120">
        <f t="shared" si="0"/>
        <v>0.12358133669609073</v>
      </c>
      <c r="G33" s="114" t="s">
        <v>215</v>
      </c>
      <c r="H33" s="119">
        <v>4179.83</v>
      </c>
      <c r="I33" s="120">
        <f t="shared" si="1"/>
        <v>2.4823239348792381E-3</v>
      </c>
    </row>
    <row r="34" spans="3:9">
      <c r="C34" s="114" t="s">
        <v>216</v>
      </c>
      <c r="D34" s="115">
        <v>55.51</v>
      </c>
      <c r="E34" s="120">
        <f t="shared" si="0"/>
        <v>0.10160746179797564</v>
      </c>
      <c r="G34" s="114" t="s">
        <v>216</v>
      </c>
      <c r="H34" s="119">
        <v>4169.4799999999996</v>
      </c>
      <c r="I34" s="120">
        <f t="shared" si="1"/>
        <v>1.464236088297044E-2</v>
      </c>
    </row>
    <row r="35" spans="3:9">
      <c r="C35" s="114" t="s">
        <v>217</v>
      </c>
      <c r="D35" s="117">
        <v>50.39</v>
      </c>
      <c r="E35" s="120">
        <f t="shared" si="0"/>
        <v>-3.9092295957284473E-2</v>
      </c>
      <c r="G35" s="114" t="s">
        <v>217</v>
      </c>
      <c r="H35" s="119">
        <v>4109.3100000000004</v>
      </c>
      <c r="I35" s="120">
        <f t="shared" si="1"/>
        <v>3.5051572358727023E-2</v>
      </c>
    </row>
    <row r="36" spans="3:9">
      <c r="C36" s="114" t="s">
        <v>218</v>
      </c>
      <c r="D36" s="115">
        <v>52.44</v>
      </c>
      <c r="E36" s="120">
        <f t="shared" si="0"/>
        <v>0.18134715025906734</v>
      </c>
      <c r="G36" s="114" t="s">
        <v>218</v>
      </c>
      <c r="H36" s="119">
        <v>3970.15</v>
      </c>
      <c r="I36" s="120">
        <f t="shared" si="1"/>
        <v>-2.6112446646715304E-2</v>
      </c>
    </row>
    <row r="37" spans="3:9">
      <c r="C37" s="114" t="s">
        <v>219</v>
      </c>
      <c r="D37" s="115">
        <v>44.39</v>
      </c>
      <c r="E37" s="120">
        <f t="shared" si="0"/>
        <v>-1.0918003565062451E-2</v>
      </c>
      <c r="G37" s="114" t="s">
        <v>219</v>
      </c>
      <c r="H37" s="119">
        <v>4076.6</v>
      </c>
      <c r="I37" s="120">
        <f t="shared" si="1"/>
        <v>6.1752832400052027E-2</v>
      </c>
    </row>
    <row r="38" spans="3:9">
      <c r="C38" s="114" t="s">
        <v>220</v>
      </c>
      <c r="D38" s="117">
        <v>44.88</v>
      </c>
      <c r="E38" s="120">
        <f t="shared" si="0"/>
        <v>4.1782729805013963E-2</v>
      </c>
      <c r="G38" s="114" t="s">
        <v>220</v>
      </c>
      <c r="H38" s="119">
        <v>3839.5</v>
      </c>
      <c r="I38" s="120">
        <f t="shared" si="1"/>
        <v>-5.8971449299161094E-2</v>
      </c>
    </row>
    <row r="39" spans="3:9">
      <c r="C39" s="114" t="s">
        <v>221</v>
      </c>
      <c r="D39" s="115">
        <v>43.08</v>
      </c>
      <c r="E39" s="120">
        <f t="shared" si="0"/>
        <v>1.0318949343339545E-2</v>
      </c>
      <c r="G39" s="114" t="s">
        <v>221</v>
      </c>
      <c r="H39" s="119">
        <v>4080.11</v>
      </c>
      <c r="I39" s="120">
        <f t="shared" si="1"/>
        <v>5.3752860293699856E-2</v>
      </c>
    </row>
    <row r="40" spans="3:9">
      <c r="C40" s="114" t="s">
        <v>222</v>
      </c>
      <c r="D40" s="115">
        <v>42.64</v>
      </c>
      <c r="E40" s="120">
        <f t="shared" si="0"/>
        <v>0.18280166435506251</v>
      </c>
      <c r="G40" s="114" t="s">
        <v>222</v>
      </c>
      <c r="H40" s="119">
        <v>3871.98</v>
      </c>
      <c r="I40" s="120">
        <f t="shared" si="1"/>
        <v>7.9863454576893256E-2</v>
      </c>
    </row>
    <row r="41" spans="3:9">
      <c r="C41" s="114" t="s">
        <v>223</v>
      </c>
      <c r="D41" s="117">
        <v>36.049999999999997</v>
      </c>
      <c r="E41" s="120">
        <f t="shared" si="0"/>
        <v>-0.13195280520105956</v>
      </c>
      <c r="G41" s="114" t="s">
        <v>223</v>
      </c>
      <c r="H41" s="119">
        <v>3585.62</v>
      </c>
      <c r="I41" s="120">
        <f t="shared" si="1"/>
        <v>-9.3395701643489315E-2</v>
      </c>
    </row>
    <row r="42" spans="3:9">
      <c r="C42" s="114" t="s">
        <v>224</v>
      </c>
      <c r="D42" s="115">
        <v>41.53</v>
      </c>
      <c r="E42" s="120">
        <f t="shared" si="0"/>
        <v>-7.0709330946520432E-2</v>
      </c>
      <c r="G42" s="114" t="s">
        <v>224</v>
      </c>
      <c r="H42" s="119">
        <v>3955</v>
      </c>
      <c r="I42" s="120">
        <f t="shared" si="1"/>
        <v>-4.2440119216810457E-2</v>
      </c>
    </row>
    <row r="43" spans="3:9">
      <c r="C43" s="114" t="s">
        <v>225</v>
      </c>
      <c r="D43" s="115">
        <v>44.69</v>
      </c>
      <c r="E43" s="120">
        <f t="shared" si="0"/>
        <v>-9.0372481172399821E-2</v>
      </c>
      <c r="G43" s="114" t="s">
        <v>225</v>
      </c>
      <c r="H43" s="119">
        <v>4130.29</v>
      </c>
      <c r="I43" s="120">
        <f t="shared" si="1"/>
        <v>9.1116347632205885E-2</v>
      </c>
    </row>
    <row r="44" spans="3:9">
      <c r="C44" s="114" t="s">
        <v>226</v>
      </c>
      <c r="D44" s="117">
        <v>49.13</v>
      </c>
      <c r="E44" s="120">
        <f t="shared" si="0"/>
        <v>-1.8285249898414291E-3</v>
      </c>
      <c r="G44" s="114" t="s">
        <v>226</v>
      </c>
      <c r="H44" s="119">
        <v>3785.38</v>
      </c>
      <c r="I44" s="120">
        <f t="shared" si="1"/>
        <v>-8.3919993223866451E-2</v>
      </c>
    </row>
    <row r="45" spans="3:9">
      <c r="C45" s="114" t="s">
        <v>227</v>
      </c>
      <c r="D45" s="115">
        <v>49.22</v>
      </c>
      <c r="E45" s="120">
        <f t="shared" si="0"/>
        <v>0.28043704474505726</v>
      </c>
      <c r="G45" s="114" t="s">
        <v>227</v>
      </c>
      <c r="H45" s="119">
        <v>4132.1499999999996</v>
      </c>
      <c r="I45" s="120">
        <f t="shared" si="1"/>
        <v>5.3243883608722342E-5</v>
      </c>
    </row>
    <row r="46" spans="3:9">
      <c r="C46" s="114" t="s">
        <v>228</v>
      </c>
      <c r="D46" s="115">
        <v>38.44</v>
      </c>
      <c r="E46" s="120">
        <f t="shared" si="0"/>
        <v>-0.11141932501155805</v>
      </c>
      <c r="G46" s="114" t="s">
        <v>228</v>
      </c>
      <c r="H46" s="119">
        <v>4131.93</v>
      </c>
      <c r="I46" s="120">
        <f t="shared" si="1"/>
        <v>-8.7956719149039353E-2</v>
      </c>
    </row>
    <row r="47" spans="3:9">
      <c r="C47" s="114" t="s">
        <v>229</v>
      </c>
      <c r="D47" s="117">
        <v>43.26</v>
      </c>
      <c r="E47" s="120">
        <f t="shared" si="0"/>
        <v>-2.3110700254225236E-4</v>
      </c>
      <c r="G47" s="114" t="s">
        <v>229</v>
      </c>
      <c r="H47" s="119">
        <v>4530.41</v>
      </c>
      <c r="I47" s="120">
        <f t="shared" si="1"/>
        <v>3.5773238773280092E-2</v>
      </c>
    </row>
    <row r="48" spans="3:9">
      <c r="C48" s="114" t="s">
        <v>230</v>
      </c>
      <c r="D48" s="115">
        <v>43.27</v>
      </c>
      <c r="E48" s="120">
        <f t="shared" si="0"/>
        <v>-0.13234409464607966</v>
      </c>
      <c r="G48" s="114" t="s">
        <v>230</v>
      </c>
      <c r="H48" s="119">
        <v>4373.9399999999996</v>
      </c>
      <c r="I48" s="120">
        <f t="shared" si="1"/>
        <v>-3.1360520866782648E-2</v>
      </c>
    </row>
    <row r="49" spans="3:9">
      <c r="C49" s="114" t="s">
        <v>231</v>
      </c>
      <c r="D49" s="115">
        <v>49.87</v>
      </c>
      <c r="E49" s="120">
        <f t="shared" si="0"/>
        <v>-7.45964000742253E-2</v>
      </c>
      <c r="G49" s="114" t="s">
        <v>231</v>
      </c>
      <c r="H49" s="119">
        <v>4515.55</v>
      </c>
      <c r="I49" s="120">
        <f t="shared" si="1"/>
        <v>-5.2585089106999772E-2</v>
      </c>
    </row>
    <row r="50" spans="3:9">
      <c r="C50" s="114" t="s">
        <v>232</v>
      </c>
      <c r="D50" s="117">
        <v>53.89</v>
      </c>
      <c r="E50" s="120">
        <f t="shared" si="0"/>
        <v>8.5179218687072122E-2</v>
      </c>
      <c r="G50" s="114" t="s">
        <v>232</v>
      </c>
      <c r="H50" s="119">
        <v>4766.18</v>
      </c>
      <c r="I50" s="120">
        <f t="shared" si="1"/>
        <v>4.3612874972629889E-2</v>
      </c>
    </row>
    <row r="51" spans="3:9">
      <c r="C51" s="114" t="s">
        <v>233</v>
      </c>
      <c r="D51" s="115">
        <v>49.66</v>
      </c>
      <c r="E51" s="120">
        <f t="shared" si="0"/>
        <v>0.42210767468499411</v>
      </c>
      <c r="G51" s="114" t="s">
        <v>233</v>
      </c>
      <c r="H51" s="119">
        <v>4567</v>
      </c>
      <c r="I51" s="120">
        <f t="shared" si="1"/>
        <v>-8.3337314184714906E-3</v>
      </c>
    </row>
    <row r="52" spans="3:9">
      <c r="C52" s="114" t="s">
        <v>234</v>
      </c>
      <c r="D52" s="115">
        <v>34.92</v>
      </c>
      <c r="E52" s="120">
        <f t="shared" si="0"/>
        <v>1.8372703412073532E-2</v>
      </c>
      <c r="G52" s="114" t="s">
        <v>234</v>
      </c>
      <c r="H52" s="119">
        <v>4605.38</v>
      </c>
      <c r="I52" s="120">
        <f t="shared" si="1"/>
        <v>6.9143873301234615E-2</v>
      </c>
    </row>
    <row r="53" spans="3:9">
      <c r="C53" s="114" t="s">
        <v>235</v>
      </c>
      <c r="D53" s="117">
        <v>34.29</v>
      </c>
      <c r="E53" s="120">
        <f t="shared" si="0"/>
        <v>-2.9436739315029659E-2</v>
      </c>
      <c r="G53" s="114" t="s">
        <v>235</v>
      </c>
      <c r="H53" s="119">
        <v>4307.54</v>
      </c>
      <c r="I53" s="120">
        <f t="shared" si="1"/>
        <v>-4.7569140421166334E-2</v>
      </c>
    </row>
    <row r="54" spans="3:9">
      <c r="C54" s="114" t="s">
        <v>236</v>
      </c>
      <c r="D54" s="115">
        <v>35.33</v>
      </c>
      <c r="E54" s="120">
        <f t="shared" si="0"/>
        <v>1.815561959654155E-2</v>
      </c>
      <c r="G54" s="114" t="s">
        <v>236</v>
      </c>
      <c r="H54" s="119">
        <v>4522.68</v>
      </c>
      <c r="I54" s="120">
        <f t="shared" si="1"/>
        <v>2.8990321391681118E-2</v>
      </c>
    </row>
    <row r="55" spans="3:9">
      <c r="C55" s="114" t="s">
        <v>237</v>
      </c>
      <c r="D55" s="115">
        <v>34.700000000000003</v>
      </c>
      <c r="E55" s="120">
        <f t="shared" si="0"/>
        <v>-7.4370709382149958E-3</v>
      </c>
      <c r="G55" s="114" t="s">
        <v>237</v>
      </c>
      <c r="H55" s="119">
        <v>4395.26</v>
      </c>
      <c r="I55" s="120">
        <f t="shared" si="1"/>
        <v>2.274810936591054E-2</v>
      </c>
    </row>
    <row r="56" spans="3:9">
      <c r="C56" s="114" t="s">
        <v>238</v>
      </c>
      <c r="D56" s="117">
        <v>34.96</v>
      </c>
      <c r="E56" s="120">
        <f t="shared" si="0"/>
        <v>-6.8181818181818343E-3</v>
      </c>
      <c r="G56" s="114" t="s">
        <v>238</v>
      </c>
      <c r="H56" s="119">
        <v>4297.5</v>
      </c>
      <c r="I56" s="120">
        <f t="shared" si="1"/>
        <v>2.221397632316946E-2</v>
      </c>
    </row>
    <row r="57" spans="3:9">
      <c r="C57" s="114" t="s">
        <v>239</v>
      </c>
      <c r="D57" s="115">
        <v>35.200000000000003</v>
      </c>
      <c r="E57" s="120">
        <f t="shared" si="0"/>
        <v>0.38201806046329034</v>
      </c>
      <c r="G57" s="114" t="s">
        <v>239</v>
      </c>
      <c r="H57" s="119">
        <v>4204.1099999999997</v>
      </c>
      <c r="I57" s="120">
        <f t="shared" si="1"/>
        <v>5.4865025818131574E-3</v>
      </c>
    </row>
    <row r="58" spans="3:9">
      <c r="C58" s="114" t="s">
        <v>240</v>
      </c>
      <c r="D58" s="115">
        <v>25.47</v>
      </c>
      <c r="E58" s="120">
        <f t="shared" si="0"/>
        <v>1.5550239234449759E-2</v>
      </c>
      <c r="G58" s="114" t="s">
        <v>240</v>
      </c>
      <c r="H58" s="119">
        <v>4181.17</v>
      </c>
      <c r="I58" s="120">
        <f t="shared" si="1"/>
        <v>5.242531255584737E-2</v>
      </c>
    </row>
    <row r="59" spans="3:9">
      <c r="C59" s="114" t="s">
        <v>241</v>
      </c>
      <c r="D59" s="117">
        <v>25.08</v>
      </c>
      <c r="E59" s="120">
        <f t="shared" si="0"/>
        <v>0.12516823687752354</v>
      </c>
      <c r="G59" s="114" t="s">
        <v>241</v>
      </c>
      <c r="H59" s="119">
        <v>3972.89</v>
      </c>
      <c r="I59" s="120">
        <f t="shared" si="1"/>
        <v>4.2438634008107767E-2</v>
      </c>
    </row>
    <row r="60" spans="3:9">
      <c r="C60" s="114" t="s">
        <v>242</v>
      </c>
      <c r="D60" s="115">
        <v>22.29</v>
      </c>
      <c r="E60" s="120">
        <f t="shared" si="0"/>
        <v>-3.7564766839378261E-2</v>
      </c>
      <c r="G60" s="114" t="s">
        <v>242</v>
      </c>
      <c r="H60" s="119">
        <v>3811.15</v>
      </c>
      <c r="I60" s="120">
        <f t="shared" si="1"/>
        <v>2.6091474971999817E-2</v>
      </c>
    </row>
    <row r="61" spans="3:9">
      <c r="C61" s="114" t="s">
        <v>243</v>
      </c>
      <c r="D61" s="115">
        <v>23.16</v>
      </c>
      <c r="E61" s="120">
        <f t="shared" si="0"/>
        <v>2.163565556036362E-3</v>
      </c>
      <c r="G61" s="114" t="s">
        <v>243</v>
      </c>
      <c r="H61" s="119">
        <v>3714.24</v>
      </c>
      <c r="I61" s="120">
        <f t="shared" si="1"/>
        <v>-1.1136640158463607E-2</v>
      </c>
    </row>
    <row r="62" spans="3:9">
      <c r="C62" s="114" t="s">
        <v>244</v>
      </c>
      <c r="D62" s="117">
        <v>23.11</v>
      </c>
      <c r="E62" s="120">
        <f t="shared" si="0"/>
        <v>1.761338617349173E-2</v>
      </c>
      <c r="G62" s="114" t="s">
        <v>244</v>
      </c>
      <c r="H62" s="119">
        <v>3756.07</v>
      </c>
      <c r="I62" s="120">
        <f t="shared" si="1"/>
        <v>3.712140665943231E-2</v>
      </c>
    </row>
    <row r="63" spans="3:9">
      <c r="C63" s="114" t="s">
        <v>245</v>
      </c>
      <c r="D63" s="115">
        <v>22.71</v>
      </c>
      <c r="E63" s="120">
        <f t="shared" si="0"/>
        <v>0.14408060453400506</v>
      </c>
      <c r="G63" s="114" t="s">
        <v>245</v>
      </c>
      <c r="H63" s="119">
        <v>3621.63</v>
      </c>
      <c r="I63" s="120">
        <f t="shared" si="1"/>
        <v>0.10754565805086314</v>
      </c>
    </row>
    <row r="64" spans="3:9">
      <c r="C64" s="114" t="s">
        <v>246</v>
      </c>
      <c r="D64" s="115">
        <v>19.850000000000001</v>
      </c>
      <c r="E64" s="120"/>
      <c r="G64" s="114" t="s">
        <v>246</v>
      </c>
      <c r="H64" s="119">
        <v>3269.96</v>
      </c>
      <c r="I64" s="120"/>
    </row>
  </sheetData>
  <mergeCells count="2">
    <mergeCell ref="C3:E3"/>
    <mergeCell ref="G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DDE6-8B35-4CCE-89B7-66575686F915}">
  <dimension ref="A1:L100"/>
  <sheetViews>
    <sheetView topLeftCell="A10" workbookViewId="0">
      <selection activeCell="E37" sqref="E37"/>
    </sheetView>
  </sheetViews>
  <sheetFormatPr defaultColWidth="0" defaultRowHeight="14.4"/>
  <cols>
    <col min="1" max="2" width="3.77734375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259</v>
      </c>
      <c r="C3" s="267"/>
      <c r="D3" s="88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C6" s="123" t="s">
        <v>65</v>
      </c>
      <c r="D6" s="109"/>
      <c r="E6" s="109"/>
      <c r="F6" s="109"/>
      <c r="G6" s="109"/>
      <c r="H6" s="4"/>
      <c r="I6" s="4"/>
      <c r="J6" s="4"/>
      <c r="K6" s="80"/>
    </row>
    <row r="7" spans="1:11">
      <c r="A7" s="80"/>
      <c r="C7" s="105" t="s">
        <v>67</v>
      </c>
      <c r="D7">
        <v>0</v>
      </c>
      <c r="E7">
        <v>0</v>
      </c>
      <c r="F7">
        <v>0</v>
      </c>
      <c r="G7" s="107">
        <v>301210</v>
      </c>
      <c r="H7" s="33">
        <f t="shared" ref="H7:J14" si="1">G7*(1+3%)</f>
        <v>310246.3</v>
      </c>
      <c r="I7" s="33">
        <f t="shared" si="1"/>
        <v>319553.68900000001</v>
      </c>
      <c r="J7" s="33">
        <f t="shared" si="1"/>
        <v>329140.29967000004</v>
      </c>
      <c r="K7" s="80"/>
    </row>
    <row r="8" spans="1:11">
      <c r="A8" s="80"/>
      <c r="C8" s="105" t="s">
        <v>68</v>
      </c>
      <c r="D8" s="107">
        <v>472270</v>
      </c>
      <c r="E8" s="107">
        <v>532047</v>
      </c>
      <c r="F8" s="107">
        <v>555933</v>
      </c>
      <c r="G8" s="107">
        <v>567653</v>
      </c>
      <c r="H8" s="33">
        <f t="shared" si="1"/>
        <v>584682.59</v>
      </c>
      <c r="I8" s="33">
        <f t="shared" si="1"/>
        <v>602223.06770000001</v>
      </c>
      <c r="J8" s="33">
        <f t="shared" si="1"/>
        <v>620289.75973100006</v>
      </c>
      <c r="K8" s="80"/>
    </row>
    <row r="9" spans="1:11">
      <c r="A9" s="80"/>
      <c r="C9" s="105" t="s">
        <v>69</v>
      </c>
      <c r="D9" s="107">
        <v>-17336</v>
      </c>
      <c r="E9" s="107">
        <v>-16119</v>
      </c>
      <c r="F9" s="107">
        <v>-16060</v>
      </c>
      <c r="G9" s="107">
        <v>-14674</v>
      </c>
      <c r="H9" s="33">
        <f t="shared" si="1"/>
        <v>-15114.220000000001</v>
      </c>
      <c r="I9" s="33">
        <f t="shared" si="1"/>
        <v>-15567.646600000002</v>
      </c>
      <c r="J9" s="33">
        <f t="shared" si="1"/>
        <v>-16034.675998000002</v>
      </c>
      <c r="K9" s="80"/>
    </row>
    <row r="10" spans="1:11">
      <c r="A10" s="80"/>
      <c r="C10" s="105" t="s">
        <v>70</v>
      </c>
      <c r="D10" s="107">
        <v>57737</v>
      </c>
      <c r="E10" s="107">
        <v>35786</v>
      </c>
      <c r="F10" s="107">
        <v>51936</v>
      </c>
      <c r="G10" s="107">
        <v>89871</v>
      </c>
      <c r="H10" s="33">
        <f t="shared" si="1"/>
        <v>92567.13</v>
      </c>
      <c r="I10" s="33">
        <f t="shared" si="1"/>
        <v>95344.14390000001</v>
      </c>
      <c r="J10" s="33">
        <f t="shared" si="1"/>
        <v>98204.468217000016</v>
      </c>
      <c r="K10" s="80"/>
    </row>
    <row r="11" spans="1:11">
      <c r="A11" s="80"/>
      <c r="C11" s="105" t="s">
        <v>71</v>
      </c>
      <c r="D11" s="107">
        <v>33878</v>
      </c>
      <c r="E11" s="107">
        <v>54631</v>
      </c>
      <c r="F11" s="107">
        <v>67533</v>
      </c>
      <c r="G11" s="107">
        <v>40692</v>
      </c>
      <c r="H11" s="33">
        <f t="shared" si="1"/>
        <v>41912.76</v>
      </c>
      <c r="I11" s="33">
        <f t="shared" si="1"/>
        <v>43170.142800000001</v>
      </c>
      <c r="J11" s="33">
        <f t="shared" si="1"/>
        <v>44465.247084000002</v>
      </c>
      <c r="K11" s="80"/>
    </row>
    <row r="12" spans="1:11">
      <c r="A12" s="80"/>
      <c r="C12" s="105" t="s">
        <v>72</v>
      </c>
      <c r="D12" s="107">
        <v>302851</v>
      </c>
      <c r="E12" s="107">
        <v>347545</v>
      </c>
      <c r="F12" s="107">
        <v>321932</v>
      </c>
      <c r="G12" s="107">
        <v>330395</v>
      </c>
      <c r="H12" s="33">
        <f t="shared" si="1"/>
        <v>340306.85000000003</v>
      </c>
      <c r="I12" s="33">
        <f t="shared" si="1"/>
        <v>350516.05550000002</v>
      </c>
      <c r="J12" s="33">
        <f t="shared" si="1"/>
        <v>361031.53716500005</v>
      </c>
      <c r="K12" s="80"/>
    </row>
    <row r="13" spans="1:11">
      <c r="A13" s="80"/>
      <c r="C13" s="105" t="s">
        <v>73</v>
      </c>
      <c r="D13" s="107">
        <v>78068</v>
      </c>
      <c r="E13" s="107">
        <v>94263</v>
      </c>
      <c r="F13" s="107">
        <v>88585</v>
      </c>
      <c r="G13" s="107">
        <v>96331</v>
      </c>
      <c r="H13" s="33">
        <f t="shared" si="1"/>
        <v>99220.930000000008</v>
      </c>
      <c r="I13" s="33">
        <f t="shared" si="1"/>
        <v>102197.55790000001</v>
      </c>
      <c r="J13" s="33">
        <f t="shared" si="1"/>
        <v>105263.48463700002</v>
      </c>
      <c r="K13" s="80"/>
    </row>
    <row r="14" spans="1:11">
      <c r="A14" s="80"/>
      <c r="C14" s="105" t="s">
        <v>114</v>
      </c>
      <c r="D14" s="107">
        <v>6880</v>
      </c>
      <c r="E14" s="109">
        <v>0</v>
      </c>
      <c r="F14" s="109">
        <v>0</v>
      </c>
      <c r="G14" s="109">
        <v>0</v>
      </c>
      <c r="H14" s="33">
        <f t="shared" si="1"/>
        <v>0</v>
      </c>
      <c r="I14" s="33">
        <f t="shared" si="1"/>
        <v>0</v>
      </c>
      <c r="J14" s="33">
        <f t="shared" si="1"/>
        <v>0</v>
      </c>
      <c r="K14" s="80"/>
    </row>
    <row r="15" spans="1:11">
      <c r="A15" s="80"/>
      <c r="C15" s="125" t="s">
        <v>74</v>
      </c>
      <c r="D15" s="126">
        <f t="shared" ref="D15:J15" si="2">SUM(D7:D14)</f>
        <v>934348</v>
      </c>
      <c r="E15" s="126">
        <f t="shared" si="2"/>
        <v>1048153</v>
      </c>
      <c r="F15" s="126">
        <f t="shared" si="2"/>
        <v>1069859</v>
      </c>
      <c r="G15" s="126">
        <f t="shared" si="2"/>
        <v>1411478</v>
      </c>
      <c r="H15" s="40">
        <f t="shared" si="2"/>
        <v>1453822.3399999999</v>
      </c>
      <c r="I15" s="40">
        <f t="shared" si="2"/>
        <v>1497437.0101999999</v>
      </c>
      <c r="J15" s="40">
        <f t="shared" si="2"/>
        <v>1542360.1205060002</v>
      </c>
      <c r="K15" s="80"/>
    </row>
    <row r="16" spans="1:11">
      <c r="A16" s="80"/>
      <c r="C16" s="128" t="s">
        <v>256</v>
      </c>
      <c r="D16" s="124"/>
      <c r="E16" s="107">
        <f t="shared" ref="E16:J16" si="3">D15-E15</f>
        <v>-113805</v>
      </c>
      <c r="F16" s="107">
        <f t="shared" si="3"/>
        <v>-21706</v>
      </c>
      <c r="G16" s="107">
        <f t="shared" si="3"/>
        <v>-341619</v>
      </c>
      <c r="H16" s="33">
        <f t="shared" si="3"/>
        <v>-42344.339999999851</v>
      </c>
      <c r="I16" s="33">
        <f t="shared" si="3"/>
        <v>-43614.670200000051</v>
      </c>
      <c r="J16" s="33">
        <f t="shared" si="3"/>
        <v>-44923.110306000337</v>
      </c>
      <c r="K16" s="80"/>
    </row>
    <row r="17" spans="1:11">
      <c r="A17" s="80"/>
      <c r="C17" s="123"/>
      <c r="D17" s="124"/>
      <c r="E17" s="124"/>
      <c r="F17" s="124"/>
      <c r="G17" s="124"/>
      <c r="H17" s="53"/>
      <c r="I17" s="53"/>
      <c r="J17" s="53"/>
      <c r="K17" s="80"/>
    </row>
    <row r="18" spans="1:11">
      <c r="A18" s="80"/>
      <c r="C18" s="123" t="s">
        <v>84</v>
      </c>
      <c r="H18" s="4"/>
      <c r="I18" s="4"/>
      <c r="J18" s="4"/>
      <c r="K18" s="80"/>
    </row>
    <row r="19" spans="1:11">
      <c r="A19" s="80"/>
      <c r="C19" s="105" t="s">
        <v>87</v>
      </c>
      <c r="D19" s="107">
        <v>319318</v>
      </c>
      <c r="E19" s="107">
        <v>351729</v>
      </c>
      <c r="F19" s="107">
        <v>383562</v>
      </c>
      <c r="G19" s="107">
        <v>334878</v>
      </c>
      <c r="H19" s="33">
        <f t="shared" ref="H19:J24" si="4">G19*(1+3%)</f>
        <v>344924.34</v>
      </c>
      <c r="I19" s="33">
        <f t="shared" si="4"/>
        <v>355272.07020000002</v>
      </c>
      <c r="J19" s="33">
        <f t="shared" si="4"/>
        <v>365930.23230600002</v>
      </c>
      <c r="K19" s="80"/>
    </row>
    <row r="20" spans="1:11">
      <c r="A20" s="80"/>
      <c r="C20" s="105" t="s">
        <v>88</v>
      </c>
      <c r="D20" s="107">
        <v>145671</v>
      </c>
      <c r="E20" s="107">
        <v>162783</v>
      </c>
      <c r="F20" s="107">
        <v>139499</v>
      </c>
      <c r="G20" s="107">
        <v>187271</v>
      </c>
      <c r="H20" s="33">
        <f t="shared" si="4"/>
        <v>192889.13</v>
      </c>
      <c r="I20" s="33">
        <f t="shared" si="4"/>
        <v>198675.8039</v>
      </c>
      <c r="J20" s="33">
        <f t="shared" si="4"/>
        <v>204636.07801699999</v>
      </c>
      <c r="K20" s="80"/>
    </row>
    <row r="21" spans="1:11">
      <c r="A21" s="80"/>
      <c r="C21" s="105" t="s">
        <v>89</v>
      </c>
      <c r="D21" s="107">
        <v>226769</v>
      </c>
      <c r="E21" s="107">
        <v>198300</v>
      </c>
      <c r="F21" s="107">
        <v>237994</v>
      </c>
      <c r="G21" s="107">
        <v>246687</v>
      </c>
      <c r="H21" s="33">
        <f t="shared" si="4"/>
        <v>254087.61000000002</v>
      </c>
      <c r="I21" s="33">
        <f t="shared" si="4"/>
        <v>261710.23830000003</v>
      </c>
      <c r="J21" s="33">
        <f t="shared" si="4"/>
        <v>269561.54544900003</v>
      </c>
      <c r="K21" s="80"/>
    </row>
    <row r="22" spans="1:11">
      <c r="A22" s="80"/>
      <c r="C22" s="105" t="s">
        <v>90</v>
      </c>
      <c r="D22" s="107">
        <v>110894</v>
      </c>
      <c r="E22" s="107">
        <v>126921</v>
      </c>
      <c r="F22" s="107">
        <v>146932</v>
      </c>
      <c r="G22" s="107">
        <v>168692</v>
      </c>
      <c r="H22" s="33">
        <f t="shared" si="4"/>
        <v>173752.76</v>
      </c>
      <c r="I22" s="33">
        <f t="shared" si="4"/>
        <v>178965.34280000001</v>
      </c>
      <c r="J22" s="33">
        <f t="shared" si="4"/>
        <v>184334.30308400001</v>
      </c>
      <c r="K22" s="80"/>
    </row>
    <row r="23" spans="1:11">
      <c r="A23" s="80"/>
      <c r="C23" s="105" t="s">
        <v>115</v>
      </c>
      <c r="D23" s="107">
        <v>4096</v>
      </c>
      <c r="E23" s="107">
        <v>2677</v>
      </c>
      <c r="F23" s="107">
        <v>0</v>
      </c>
      <c r="G23" s="107">
        <v>0</v>
      </c>
      <c r="H23" s="33">
        <f t="shared" si="4"/>
        <v>0</v>
      </c>
      <c r="I23" s="33">
        <f t="shared" si="4"/>
        <v>0</v>
      </c>
      <c r="J23" s="33">
        <f t="shared" si="4"/>
        <v>0</v>
      </c>
      <c r="K23" s="80"/>
    </row>
    <row r="24" spans="1:11">
      <c r="A24" s="80"/>
      <c r="C24" s="105" t="s">
        <v>91</v>
      </c>
      <c r="D24" s="109">
        <v>0</v>
      </c>
      <c r="E24" s="107">
        <v>32808</v>
      </c>
      <c r="F24" s="107">
        <v>154666</v>
      </c>
      <c r="G24" s="109">
        <v>0</v>
      </c>
      <c r="H24" s="33">
        <f t="shared" si="4"/>
        <v>0</v>
      </c>
      <c r="I24" s="33">
        <f t="shared" si="4"/>
        <v>0</v>
      </c>
      <c r="J24" s="33">
        <f t="shared" si="4"/>
        <v>0</v>
      </c>
      <c r="K24" s="80"/>
    </row>
    <row r="25" spans="1:11">
      <c r="A25" s="80"/>
      <c r="C25" s="125" t="s">
        <v>93</v>
      </c>
      <c r="D25" s="126">
        <f t="shared" ref="D25:J25" si="5">SUM(D19:D24)</f>
        <v>806748</v>
      </c>
      <c r="E25" s="126">
        <f t="shared" si="5"/>
        <v>875218</v>
      </c>
      <c r="F25" s="126">
        <f t="shared" si="5"/>
        <v>1062653</v>
      </c>
      <c r="G25" s="126">
        <f t="shared" si="5"/>
        <v>937528</v>
      </c>
      <c r="H25" s="40">
        <f t="shared" si="5"/>
        <v>965653.84</v>
      </c>
      <c r="I25" s="40">
        <f t="shared" si="5"/>
        <v>994623.45519999997</v>
      </c>
      <c r="J25" s="40">
        <f t="shared" si="5"/>
        <v>1024462.1588560001</v>
      </c>
      <c r="K25" s="80"/>
    </row>
    <row r="26" spans="1:11">
      <c r="A26" s="80"/>
      <c r="C26" s="105" t="s">
        <v>257</v>
      </c>
      <c r="E26" s="129">
        <f t="shared" ref="E26:J26" si="6">E25-D25</f>
        <v>68470</v>
      </c>
      <c r="F26" s="129">
        <f t="shared" si="6"/>
        <v>187435</v>
      </c>
      <c r="G26" s="129">
        <f t="shared" si="6"/>
        <v>-125125</v>
      </c>
      <c r="H26" s="33">
        <f t="shared" si="6"/>
        <v>28125.839999999967</v>
      </c>
      <c r="I26" s="33">
        <f t="shared" si="6"/>
        <v>28969.6152</v>
      </c>
      <c r="J26" s="33">
        <f t="shared" si="6"/>
        <v>29838.703656000085</v>
      </c>
      <c r="K26" s="80"/>
    </row>
    <row r="27" spans="1:11">
      <c r="A27" s="80"/>
      <c r="H27" s="4"/>
      <c r="I27" s="4"/>
      <c r="J27" s="4"/>
      <c r="K27" s="80"/>
    </row>
    <row r="28" spans="1:11">
      <c r="A28" s="80"/>
      <c r="C28" s="123" t="s">
        <v>258</v>
      </c>
      <c r="D28" s="130">
        <f t="shared" ref="D28:J28" si="7">D15-D25</f>
        <v>127600</v>
      </c>
      <c r="E28" s="130">
        <f t="shared" si="7"/>
        <v>172935</v>
      </c>
      <c r="F28" s="130">
        <f t="shared" si="7"/>
        <v>7206</v>
      </c>
      <c r="G28" s="130">
        <f t="shared" si="7"/>
        <v>473950</v>
      </c>
      <c r="H28" s="53">
        <f t="shared" si="7"/>
        <v>488168.49999999988</v>
      </c>
      <c r="I28" s="53">
        <f t="shared" si="7"/>
        <v>502813.55499999993</v>
      </c>
      <c r="J28" s="53">
        <f t="shared" si="7"/>
        <v>517897.96165000019</v>
      </c>
      <c r="K28" s="80"/>
    </row>
    <row r="29" spans="1:11">
      <c r="A29" s="80"/>
      <c r="H29" s="4"/>
      <c r="I29" s="4"/>
      <c r="J29" s="4"/>
      <c r="K29" s="80"/>
    </row>
    <row r="30" spans="1:11">
      <c r="A30" s="80"/>
      <c r="C30" s="127" t="s">
        <v>260</v>
      </c>
      <c r="E30" s="129">
        <f t="shared" ref="E30:J30" si="8">E28-D28</f>
        <v>45335</v>
      </c>
      <c r="F30" s="129">
        <f t="shared" si="8"/>
        <v>-165729</v>
      </c>
      <c r="G30" s="129">
        <f t="shared" si="8"/>
        <v>466744</v>
      </c>
      <c r="H30" s="33">
        <f t="shared" si="8"/>
        <v>14218.499999999884</v>
      </c>
      <c r="I30" s="33">
        <f t="shared" si="8"/>
        <v>14645.055000000051</v>
      </c>
      <c r="J30" s="33">
        <f t="shared" si="8"/>
        <v>15084.406650000252</v>
      </c>
      <c r="K30" s="80"/>
    </row>
    <row r="31" spans="1:11">
      <c r="A31" s="80"/>
      <c r="H31" s="4"/>
      <c r="I31" s="4"/>
      <c r="J31" s="4"/>
      <c r="K31" s="80"/>
    </row>
    <row r="32" spans="1:11">
      <c r="A32" s="80"/>
      <c r="H32" s="4"/>
      <c r="I32" s="4"/>
      <c r="J32" s="4"/>
      <c r="K32" s="80"/>
    </row>
    <row r="33" spans="1:11">
      <c r="A33" s="80"/>
      <c r="H33" s="4"/>
      <c r="I33" s="4"/>
      <c r="J33" s="4"/>
      <c r="K33" s="80"/>
    </row>
    <row r="34" spans="1:11">
      <c r="A34" s="80"/>
      <c r="H34" s="4"/>
      <c r="I34" s="4"/>
      <c r="J34" s="4"/>
      <c r="K34" s="80"/>
    </row>
    <row r="35" spans="1:11">
      <c r="A35" s="80"/>
      <c r="H35" s="4"/>
      <c r="I35" s="4"/>
      <c r="J35" s="4"/>
      <c r="K35" s="80"/>
    </row>
    <row r="36" spans="1:11">
      <c r="A36" s="80"/>
      <c r="H36" s="4"/>
      <c r="I36" s="4"/>
      <c r="J36" s="4"/>
      <c r="K36" s="80"/>
    </row>
    <row r="37" spans="1:11">
      <c r="A37" s="80"/>
      <c r="H37" s="4"/>
      <c r="I37" s="4"/>
      <c r="J37" s="4"/>
      <c r="K37" s="80"/>
    </row>
    <row r="38" spans="1:11">
      <c r="A38" s="80"/>
      <c r="H38" s="4"/>
      <c r="I38" s="4"/>
      <c r="J38" s="4"/>
      <c r="K38" s="80"/>
    </row>
    <row r="39" spans="1:11">
      <c r="A39" s="80"/>
      <c r="H39" s="4"/>
      <c r="I39" s="4"/>
      <c r="J39" s="4"/>
      <c r="K39" s="80"/>
    </row>
    <row r="40" spans="1:11">
      <c r="A40" s="80"/>
      <c r="H40" s="4"/>
      <c r="I40" s="4"/>
      <c r="J40" s="4"/>
      <c r="K40" s="80"/>
    </row>
    <row r="41" spans="1:11">
      <c r="A41" s="80"/>
      <c r="H41" s="4"/>
      <c r="I41" s="4"/>
      <c r="J41" s="4"/>
      <c r="K41" s="80"/>
    </row>
    <row r="42" spans="1:11">
      <c r="A42" s="80"/>
      <c r="H42" s="4"/>
      <c r="I42" s="4"/>
      <c r="J42" s="4"/>
      <c r="K42" s="80"/>
    </row>
    <row r="43" spans="1:11">
      <c r="A43" s="80"/>
      <c r="H43" s="4"/>
      <c r="I43" s="4"/>
      <c r="J43" s="4"/>
      <c r="K43" s="80"/>
    </row>
    <row r="44" spans="1:11">
      <c r="A44" s="80"/>
      <c r="H44" s="4"/>
      <c r="I44" s="4"/>
      <c r="J44" s="4"/>
      <c r="K44" s="80"/>
    </row>
    <row r="45" spans="1:11">
      <c r="A45" s="80"/>
      <c r="H45" s="4"/>
      <c r="I45" s="4"/>
      <c r="J45" s="4"/>
      <c r="K45" s="80"/>
    </row>
    <row r="46" spans="1:11">
      <c r="A46" s="80"/>
      <c r="H46" s="4"/>
      <c r="I46" s="4"/>
      <c r="J46" s="4"/>
      <c r="K46" s="80"/>
    </row>
    <row r="47" spans="1:11">
      <c r="A47" s="80"/>
      <c r="H47" s="4"/>
      <c r="I47" s="4"/>
      <c r="J47" s="4"/>
      <c r="K47" s="80"/>
    </row>
    <row r="48" spans="1:11">
      <c r="A48" s="80"/>
      <c r="H48" s="4"/>
      <c r="I48" s="4"/>
      <c r="J48" s="4"/>
      <c r="K48" s="80"/>
    </row>
    <row r="49" spans="1:11">
      <c r="A49" s="80"/>
      <c r="H49" s="4"/>
      <c r="I49" s="4"/>
      <c r="J49" s="4"/>
      <c r="K49" s="80"/>
    </row>
    <row r="50" spans="1:11">
      <c r="A50" s="80"/>
      <c r="H50" s="4"/>
      <c r="I50" s="4"/>
      <c r="J50" s="4"/>
      <c r="K50" s="80"/>
    </row>
    <row r="51" spans="1:11">
      <c r="A51" s="80"/>
      <c r="H51" s="4"/>
      <c r="I51" s="4"/>
      <c r="J51" s="4"/>
      <c r="K51" s="80"/>
    </row>
    <row r="52" spans="1:11">
      <c r="A52" s="80"/>
      <c r="H52" s="4"/>
      <c r="I52" s="4"/>
      <c r="J52" s="4"/>
      <c r="K52" s="80"/>
    </row>
    <row r="53" spans="1:11">
      <c r="A53" s="80"/>
      <c r="H53" s="4"/>
      <c r="I53" s="4"/>
      <c r="J53" s="4"/>
      <c r="K53" s="80"/>
    </row>
    <row r="54" spans="1:11">
      <c r="A54" s="80"/>
      <c r="H54" s="4"/>
      <c r="I54" s="4"/>
      <c r="J54" s="4"/>
      <c r="K54" s="80"/>
    </row>
    <row r="55" spans="1:11">
      <c r="A55" s="80"/>
      <c r="H55" s="4"/>
      <c r="I55" s="4"/>
      <c r="J55" s="4"/>
      <c r="K55" s="80"/>
    </row>
    <row r="56" spans="1:11">
      <c r="A56" s="80"/>
      <c r="H56" s="4"/>
      <c r="I56" s="4"/>
      <c r="J56" s="4"/>
      <c r="K56" s="80"/>
    </row>
    <row r="57" spans="1:11">
      <c r="A57" s="80"/>
      <c r="H57" s="4"/>
      <c r="I57" s="4"/>
      <c r="J57" s="4"/>
      <c r="K57" s="80"/>
    </row>
    <row r="58" spans="1:11">
      <c r="A58" s="80"/>
      <c r="H58" s="4"/>
      <c r="I58" s="4"/>
      <c r="J58" s="4"/>
      <c r="K58" s="80"/>
    </row>
    <row r="59" spans="1:11">
      <c r="A59" s="80"/>
      <c r="H59" s="4"/>
      <c r="I59" s="4"/>
      <c r="J59" s="4"/>
      <c r="K59" s="80"/>
    </row>
    <row r="60" spans="1:11">
      <c r="A60" s="80"/>
      <c r="H60" s="4"/>
      <c r="I60" s="4"/>
      <c r="J60" s="4"/>
      <c r="K60" s="80"/>
    </row>
    <row r="61" spans="1:11">
      <c r="A61" s="80"/>
      <c r="H61" s="4"/>
      <c r="I61" s="4"/>
      <c r="J61" s="4"/>
      <c r="K61" s="80"/>
    </row>
    <row r="62" spans="1:11">
      <c r="A62" s="80"/>
      <c r="H62" s="4"/>
      <c r="I62" s="4"/>
      <c r="J62" s="4"/>
      <c r="K62" s="80"/>
    </row>
    <row r="63" spans="1:11">
      <c r="A63" s="80"/>
      <c r="H63" s="4"/>
      <c r="I63" s="4"/>
      <c r="J63" s="4"/>
      <c r="K63" s="80"/>
    </row>
    <row r="64" spans="1:11">
      <c r="A64" s="80"/>
      <c r="H64" s="4"/>
      <c r="I64" s="4"/>
      <c r="J64" s="4"/>
      <c r="K64" s="80"/>
    </row>
    <row r="65" spans="1:11">
      <c r="A65" s="80"/>
      <c r="H65" s="4"/>
      <c r="I65" s="4"/>
      <c r="J65" s="4"/>
      <c r="K65" s="80"/>
    </row>
    <row r="66" spans="1:11">
      <c r="A66" s="80"/>
      <c r="H66" s="4"/>
      <c r="I66" s="4"/>
      <c r="J66" s="4"/>
      <c r="K66" s="80"/>
    </row>
    <row r="67" spans="1:11">
      <c r="A67" s="80"/>
      <c r="H67" s="4"/>
      <c r="I67" s="4"/>
      <c r="J67" s="4"/>
      <c r="K67" s="80"/>
    </row>
    <row r="68" spans="1:11">
      <c r="A68" s="80"/>
      <c r="H68" s="4"/>
      <c r="I68" s="4"/>
      <c r="J68" s="4"/>
      <c r="K68" s="80"/>
    </row>
    <row r="69" spans="1:11">
      <c r="A69" s="80"/>
      <c r="H69" s="4"/>
      <c r="I69" s="4"/>
      <c r="J69" s="4"/>
      <c r="K69" s="80"/>
    </row>
    <row r="70" spans="1:11">
      <c r="A70" s="80"/>
      <c r="H70" s="4"/>
      <c r="I70" s="4"/>
      <c r="J70" s="4"/>
      <c r="K70" s="80"/>
    </row>
    <row r="71" spans="1:11">
      <c r="A71" s="80"/>
      <c r="H71" s="4"/>
      <c r="I71" s="4"/>
      <c r="J71" s="4"/>
      <c r="K71" s="80"/>
    </row>
    <row r="72" spans="1:11">
      <c r="A72" s="80"/>
      <c r="H72" s="4"/>
      <c r="I72" s="4"/>
      <c r="J72" s="4"/>
      <c r="K72" s="80"/>
    </row>
    <row r="73" spans="1:11">
      <c r="A73" s="80"/>
      <c r="H73" s="4"/>
      <c r="I73" s="4"/>
      <c r="J73" s="4"/>
      <c r="K73" s="80"/>
    </row>
    <row r="74" spans="1:11">
      <c r="A74" s="80"/>
      <c r="H74" s="4"/>
      <c r="I74" s="4"/>
      <c r="J74" s="4"/>
      <c r="K74" s="80"/>
    </row>
    <row r="75" spans="1:11">
      <c r="A75" s="80"/>
      <c r="H75" s="4"/>
      <c r="I75" s="4"/>
      <c r="J75" s="4"/>
      <c r="K75" s="80"/>
    </row>
    <row r="76" spans="1:11">
      <c r="A76" s="80"/>
      <c r="H76" s="4"/>
      <c r="I76" s="4"/>
      <c r="J76" s="4"/>
      <c r="K76" s="80"/>
    </row>
    <row r="77" spans="1:11">
      <c r="A77" s="80"/>
      <c r="H77" s="4"/>
      <c r="I77" s="4"/>
      <c r="J77" s="4"/>
      <c r="K77" s="80"/>
    </row>
    <row r="78" spans="1:11">
      <c r="A78" s="80"/>
      <c r="H78" s="4"/>
      <c r="I78" s="4"/>
      <c r="J78" s="4"/>
      <c r="K78" s="80"/>
    </row>
    <row r="79" spans="1:11">
      <c r="A79" s="80"/>
      <c r="H79" s="4"/>
      <c r="I79" s="4"/>
      <c r="J79" s="4"/>
      <c r="K79" s="80"/>
    </row>
    <row r="80" spans="1:11">
      <c r="A80" s="80"/>
      <c r="H80" s="4"/>
      <c r="I80" s="4"/>
      <c r="J80" s="4"/>
      <c r="K80" s="80"/>
    </row>
    <row r="81" spans="1:11">
      <c r="A81" s="80"/>
      <c r="H81" s="4"/>
      <c r="I81" s="4"/>
      <c r="J81" s="4"/>
      <c r="K81" s="80"/>
    </row>
    <row r="82" spans="1:11">
      <c r="A82" s="80"/>
      <c r="H82" s="4"/>
      <c r="I82" s="4"/>
      <c r="J82" s="4"/>
      <c r="K82" s="80"/>
    </row>
    <row r="83" spans="1:11">
      <c r="A83" s="80"/>
      <c r="H83" s="4"/>
      <c r="I83" s="4"/>
      <c r="J83" s="4"/>
      <c r="K83" s="80"/>
    </row>
    <row r="84" spans="1:11">
      <c r="A84" s="80"/>
      <c r="H84" s="4"/>
      <c r="I84" s="4"/>
      <c r="J84" s="4"/>
      <c r="K84" s="80"/>
    </row>
    <row r="85" spans="1:11">
      <c r="A85" s="80"/>
      <c r="H85" s="4"/>
      <c r="I85" s="4"/>
      <c r="J85" s="4"/>
      <c r="K85" s="80"/>
    </row>
    <row r="86" spans="1:11">
      <c r="A86" s="80"/>
      <c r="H86" s="4"/>
      <c r="I86" s="4"/>
      <c r="J86" s="4"/>
      <c r="K86" s="80"/>
    </row>
    <row r="87" spans="1:11">
      <c r="A87" s="80"/>
      <c r="H87" s="4"/>
      <c r="I87" s="4"/>
      <c r="J87" s="4"/>
      <c r="K87" s="80"/>
    </row>
    <row r="88" spans="1:11">
      <c r="A88" s="80"/>
      <c r="H88" s="4"/>
      <c r="I88" s="4"/>
      <c r="J88" s="4"/>
      <c r="K88" s="80"/>
    </row>
    <row r="89" spans="1:11">
      <c r="A89" s="80"/>
      <c r="H89" s="4"/>
      <c r="I89" s="4"/>
      <c r="J89" s="4"/>
      <c r="K89" s="80"/>
    </row>
    <row r="90" spans="1:11">
      <c r="A90" s="80"/>
      <c r="H90" s="4"/>
      <c r="I90" s="4"/>
      <c r="J90" s="4"/>
      <c r="K90" s="80"/>
    </row>
    <row r="91" spans="1:11">
      <c r="A91" s="80"/>
      <c r="H91" s="4"/>
      <c r="I91" s="4"/>
      <c r="J91" s="4"/>
      <c r="K91" s="80"/>
    </row>
    <row r="92" spans="1:11">
      <c r="A92" s="80"/>
      <c r="H92" s="4"/>
      <c r="I92" s="4"/>
      <c r="J92" s="4"/>
      <c r="K92" s="80"/>
    </row>
    <row r="93" spans="1:11">
      <c r="A93" s="80"/>
      <c r="H93" s="4"/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</sheetData>
  <mergeCells count="5">
    <mergeCell ref="B2:C2"/>
    <mergeCell ref="B3:C3"/>
    <mergeCell ref="E3:G3"/>
    <mergeCell ref="H3:J3"/>
    <mergeCell ref="B4:C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D7053-FC74-4A79-A2FA-0CA5DF8B72DD}">
  <dimension ref="A1:P101"/>
  <sheetViews>
    <sheetView showGridLines="0" workbookViewId="0">
      <selection activeCell="B6" sqref="B6:L11"/>
    </sheetView>
  </sheetViews>
  <sheetFormatPr defaultColWidth="0" defaultRowHeight="14.4"/>
  <cols>
    <col min="1" max="1" width="3.77734375" customWidth="1"/>
    <col min="2" max="2" width="5.6640625" bestFit="1" customWidth="1"/>
    <col min="3" max="3" width="24.6640625" customWidth="1"/>
    <col min="4" max="4" width="8.88671875" bestFit="1" customWidth="1"/>
    <col min="5" max="6" width="11.6640625" bestFit="1" customWidth="1"/>
    <col min="7" max="7" width="10.6640625" bestFit="1" customWidth="1"/>
    <col min="8" max="8" width="20.77734375" bestFit="1" customWidth="1"/>
    <col min="9" max="9" width="10.6640625" bestFit="1" customWidth="1"/>
    <col min="10" max="10" width="11.6640625" customWidth="1"/>
    <col min="11" max="11" width="20.44140625" bestFit="1" customWidth="1"/>
    <col min="12" max="12" width="13.6640625" bestFit="1" customWidth="1"/>
    <col min="13" max="14" width="11.6640625" customWidth="1"/>
    <col min="15" max="15" width="3.77734375" customWidth="1"/>
    <col min="16" max="16" width="3.77734375" hidden="1" customWidth="1"/>
    <col min="17" max="16384" width="8.88671875" hidden="1"/>
  </cols>
  <sheetData>
    <row r="1" spans="1:15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</row>
    <row r="2" spans="1:15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80"/>
    </row>
    <row r="3" spans="1:15">
      <c r="A3" s="80"/>
      <c r="B3" s="267" t="s">
        <v>305</v>
      </c>
      <c r="C3" s="267"/>
      <c r="D3" s="268"/>
      <c r="E3" s="268"/>
      <c r="F3" s="268"/>
      <c r="G3" s="268"/>
      <c r="H3" s="268"/>
      <c r="I3" s="268"/>
      <c r="J3" s="81"/>
      <c r="K3" s="81"/>
      <c r="L3" s="81"/>
      <c r="M3" s="81"/>
      <c r="N3" s="81"/>
      <c r="O3" s="80"/>
    </row>
    <row r="4" spans="1:15">
      <c r="A4" s="80"/>
      <c r="B4" s="267" t="str">
        <f>currency</f>
        <v>in thousands, except per share data</v>
      </c>
      <c r="C4" s="267"/>
      <c r="D4" s="79"/>
      <c r="E4" s="79"/>
      <c r="F4" s="79"/>
      <c r="G4" s="79"/>
      <c r="H4" s="79"/>
      <c r="I4" s="79"/>
      <c r="J4" s="79"/>
      <c r="K4" s="79"/>
      <c r="L4" s="79"/>
      <c r="M4" s="79"/>
      <c r="N4" s="79"/>
      <c r="O4" s="80"/>
    </row>
    <row r="5" spans="1:15">
      <c r="A5" s="80"/>
      <c r="O5" s="80"/>
    </row>
    <row r="6" spans="1:15">
      <c r="A6" s="80"/>
      <c r="B6" s="131" t="s">
        <v>261</v>
      </c>
      <c r="C6" s="131" t="s">
        <v>262</v>
      </c>
      <c r="D6" s="131" t="s">
        <v>3</v>
      </c>
      <c r="E6" s="131" t="s">
        <v>263</v>
      </c>
      <c r="F6" s="131" t="s">
        <v>264</v>
      </c>
      <c r="G6" s="131" t="s">
        <v>265</v>
      </c>
      <c r="H6" s="131" t="s">
        <v>266</v>
      </c>
      <c r="I6" s="131" t="s">
        <v>267</v>
      </c>
      <c r="J6" s="131" t="s">
        <v>268</v>
      </c>
      <c r="K6" s="131" t="s">
        <v>269</v>
      </c>
      <c r="L6" s="131" t="s">
        <v>270</v>
      </c>
      <c r="O6" s="80"/>
    </row>
    <row r="7" spans="1:15">
      <c r="A7" s="80"/>
      <c r="B7" s="118">
        <v>1</v>
      </c>
      <c r="C7" s="118" t="s">
        <v>273</v>
      </c>
      <c r="D7" s="118" t="s">
        <v>6</v>
      </c>
      <c r="E7" s="118" t="s">
        <v>274</v>
      </c>
      <c r="F7" s="137">
        <f>'Balance Sheet'!G30+'Balance Sheet'!G31+'Balance Sheet'!G38+'Balance Sheet'!G43+'Balance Sheet'!G44+'Balance Sheet'!G45</f>
        <v>1906998</v>
      </c>
      <c r="G7" s="137">
        <f>'Balance Sheet'!G60</f>
        <v>1417611</v>
      </c>
      <c r="H7" s="138">
        <v>0.21</v>
      </c>
      <c r="I7" s="140">
        <f>F7/G7</f>
        <v>1.3452195277830097</v>
      </c>
      <c r="J7" s="140">
        <f>F7/(F7+G7)</f>
        <v>0.57360068507304163</v>
      </c>
      <c r="K7" s="140">
        <f>BETA!M5</f>
        <v>0.67005995467344281</v>
      </c>
      <c r="L7" s="140">
        <f>K7/(1+I7)*(1-H7)</f>
        <v>0.22571335344986837</v>
      </c>
      <c r="O7" s="80"/>
    </row>
    <row r="8" spans="1:15">
      <c r="A8" s="80"/>
      <c r="B8" s="118">
        <v>2</v>
      </c>
      <c r="C8" s="118" t="s">
        <v>275</v>
      </c>
      <c r="D8" s="118" t="s">
        <v>279</v>
      </c>
      <c r="E8" s="118" t="s">
        <v>274</v>
      </c>
      <c r="F8" s="137">
        <v>34508</v>
      </c>
      <c r="G8" s="137">
        <v>52284</v>
      </c>
      <c r="H8" s="138">
        <v>0.21</v>
      </c>
      <c r="I8" s="140">
        <f t="shared" ref="I8:I11" si="0">F8/G8</f>
        <v>0.66001071073368522</v>
      </c>
      <c r="J8" s="140">
        <f t="shared" ref="J8:J11" si="1">F8/(F8+G8)</f>
        <v>0.39759424831781731</v>
      </c>
      <c r="K8" s="118">
        <v>0.37</v>
      </c>
      <c r="L8" s="140">
        <f t="shared" ref="L8:L11" si="2">K8/(1+I8)*(1-H8)</f>
        <v>0.17608320121670201</v>
      </c>
      <c r="O8" s="80"/>
    </row>
    <row r="9" spans="1:15">
      <c r="A9" s="80"/>
      <c r="B9" s="118">
        <v>3</v>
      </c>
      <c r="C9" s="118" t="s">
        <v>276</v>
      </c>
      <c r="D9" s="118" t="s">
        <v>280</v>
      </c>
      <c r="E9" s="118" t="s">
        <v>274</v>
      </c>
      <c r="F9" s="137">
        <v>44306</v>
      </c>
      <c r="G9" s="137">
        <v>18171</v>
      </c>
      <c r="H9" s="138">
        <v>0.21</v>
      </c>
      <c r="I9" s="140">
        <f t="shared" si="0"/>
        <v>2.438280777062352</v>
      </c>
      <c r="J9" s="140">
        <f t="shared" si="1"/>
        <v>0.70915696976487352</v>
      </c>
      <c r="K9" s="118">
        <v>0.46</v>
      </c>
      <c r="L9" s="140">
        <f t="shared" si="2"/>
        <v>0.10569235718744499</v>
      </c>
      <c r="O9" s="80"/>
    </row>
    <row r="10" spans="1:15">
      <c r="A10" s="80"/>
      <c r="B10" s="118">
        <v>4</v>
      </c>
      <c r="C10" s="118" t="s">
        <v>277</v>
      </c>
      <c r="D10" s="118" t="s">
        <v>281</v>
      </c>
      <c r="E10" s="118" t="s">
        <v>274</v>
      </c>
      <c r="F10" s="137">
        <v>45558</v>
      </c>
      <c r="G10" s="118">
        <v>-9870</v>
      </c>
      <c r="H10" s="138">
        <v>0.21</v>
      </c>
      <c r="I10" s="140">
        <f t="shared" si="0"/>
        <v>-4.6158054711246201</v>
      </c>
      <c r="J10" s="140">
        <f t="shared" si="1"/>
        <v>1.2765635507733692</v>
      </c>
      <c r="K10" s="118">
        <v>0.51</v>
      </c>
      <c r="L10" s="140">
        <f t="shared" si="2"/>
        <v>-0.11142745460659047</v>
      </c>
      <c r="O10" s="80"/>
    </row>
    <row r="11" spans="1:15" ht="15" thickBot="1">
      <c r="A11" s="80"/>
      <c r="B11" s="134">
        <v>5</v>
      </c>
      <c r="C11" s="134" t="s">
        <v>278</v>
      </c>
      <c r="D11" s="134" t="s">
        <v>282</v>
      </c>
      <c r="E11" s="118" t="s">
        <v>274</v>
      </c>
      <c r="F11" s="139">
        <v>24926</v>
      </c>
      <c r="G11" s="134">
        <v>-2188</v>
      </c>
      <c r="H11" s="138">
        <v>0.21</v>
      </c>
      <c r="I11" s="140">
        <f t="shared" si="0"/>
        <v>-11.392138939670932</v>
      </c>
      <c r="J11" s="140">
        <f t="shared" si="1"/>
        <v>1.0962265810537426</v>
      </c>
      <c r="K11" s="134">
        <v>0.62</v>
      </c>
      <c r="L11" s="140">
        <f t="shared" si="2"/>
        <v>-4.7131779400123149E-2</v>
      </c>
      <c r="O11" s="80"/>
    </row>
    <row r="12" spans="1:15">
      <c r="A12" s="80"/>
      <c r="B12" s="135"/>
      <c r="C12" s="136" t="s">
        <v>271</v>
      </c>
      <c r="D12" s="136"/>
      <c r="E12" s="136"/>
      <c r="F12" s="141">
        <f>AVERAGE(F7:F11)</f>
        <v>411259.2</v>
      </c>
      <c r="G12" s="141">
        <f>AVERAGE(G7:G11)</f>
        <v>295201.59999999998</v>
      </c>
      <c r="H12" s="136"/>
      <c r="I12" s="143">
        <f>AVERAGE(I7:I11)</f>
        <v>-2.3128866790433014</v>
      </c>
      <c r="J12" s="143">
        <f>AVERAGE(J7:J11)</f>
        <v>0.81062840699656891</v>
      </c>
      <c r="K12" s="143">
        <f>AVERAGE(K7:K11)</f>
        <v>0.52601199093468853</v>
      </c>
      <c r="L12" s="145">
        <f>AVERAGE(L7:L11)</f>
        <v>6.9785935569460347E-2</v>
      </c>
      <c r="O12" s="80"/>
    </row>
    <row r="13" spans="1:15" ht="15" thickBot="1">
      <c r="A13" s="80"/>
      <c r="B13" s="132"/>
      <c r="C13" s="133" t="s">
        <v>272</v>
      </c>
      <c r="D13" s="133"/>
      <c r="E13" s="133"/>
      <c r="F13" s="142">
        <f>MEDIAN(F7:F11)</f>
        <v>44306</v>
      </c>
      <c r="G13" s="142">
        <f>MEDIAN(G7:G11)</f>
        <v>18171</v>
      </c>
      <c r="H13" s="133"/>
      <c r="I13" s="144">
        <f>MEDIAN(I7:I11)</f>
        <v>0.66001071073368522</v>
      </c>
      <c r="J13" s="144">
        <f>MEDIAN(J7:J11)</f>
        <v>0.70915696976487352</v>
      </c>
      <c r="K13" s="144">
        <f>MEDIAN(K7:K11)</f>
        <v>0.51</v>
      </c>
      <c r="L13" s="146">
        <f>MEDIAN(L7:L11)</f>
        <v>0.10569235718744499</v>
      </c>
      <c r="O13" s="80"/>
    </row>
    <row r="14" spans="1:15">
      <c r="A14" s="80"/>
      <c r="O14" s="80"/>
    </row>
    <row r="15" spans="1:15" ht="15" thickBot="1">
      <c r="A15" s="80"/>
      <c r="N15" s="129"/>
      <c r="O15" s="80"/>
    </row>
    <row r="16" spans="1:15">
      <c r="A16" s="80"/>
      <c r="C16" s="277" t="s">
        <v>283</v>
      </c>
      <c r="D16" s="279"/>
      <c r="H16" s="277" t="s">
        <v>284</v>
      </c>
      <c r="I16" s="279"/>
      <c r="K16" s="277" t="s">
        <v>285</v>
      </c>
      <c r="L16" s="279"/>
      <c r="N16" s="129"/>
      <c r="O16" s="80"/>
    </row>
    <row r="17" spans="1:15">
      <c r="A17" s="80"/>
      <c r="C17" s="147" t="s">
        <v>286</v>
      </c>
      <c r="D17" s="154">
        <f>'Income Statement'!D12/WACC!F7</f>
        <v>1.3000538018393307E-2</v>
      </c>
      <c r="H17" s="147" t="s">
        <v>289</v>
      </c>
      <c r="I17" s="159">
        <v>4.2900000000000001E-2</v>
      </c>
      <c r="K17" s="147" t="s">
        <v>291</v>
      </c>
      <c r="L17" s="162">
        <v>0</v>
      </c>
      <c r="N17" s="129"/>
      <c r="O17" s="80"/>
    </row>
    <row r="18" spans="1:15">
      <c r="A18" s="80"/>
      <c r="C18" s="147" t="s">
        <v>287</v>
      </c>
      <c r="D18" s="158">
        <f>H7</f>
        <v>0.21</v>
      </c>
      <c r="H18" s="147" t="s">
        <v>269</v>
      </c>
      <c r="I18" s="160">
        <f>K7</f>
        <v>0.67005995467344281</v>
      </c>
      <c r="K18" s="147"/>
      <c r="L18" s="148"/>
      <c r="N18" s="129"/>
      <c r="O18" s="80"/>
    </row>
    <row r="19" spans="1:15" ht="15" thickBot="1">
      <c r="A19" s="80"/>
      <c r="C19" s="149" t="s">
        <v>288</v>
      </c>
      <c r="D19" s="157">
        <f>D17*(1-D18)</f>
        <v>1.0270425034530713E-2</v>
      </c>
      <c r="H19" s="147" t="s">
        <v>290</v>
      </c>
      <c r="I19" s="159">
        <f>BETA!M9</f>
        <v>0.18501821246574957</v>
      </c>
      <c r="K19" s="147"/>
      <c r="L19" s="148"/>
      <c r="O19" s="80"/>
    </row>
    <row r="20" spans="1:15" ht="15" thickBot="1">
      <c r="A20" s="80"/>
      <c r="H20" s="147" t="s">
        <v>284</v>
      </c>
      <c r="I20" s="159">
        <f>I17+I18*(I19-I17)</f>
        <v>0.13812772300307088</v>
      </c>
      <c r="K20" s="149"/>
      <c r="L20" s="150"/>
      <c r="O20" s="80"/>
    </row>
    <row r="21" spans="1:15" ht="15" thickBot="1">
      <c r="A21" s="80"/>
      <c r="H21" s="149" t="s">
        <v>503</v>
      </c>
      <c r="I21" s="161">
        <f>G7/(F7+G7)</f>
        <v>0.42639931492695832</v>
      </c>
      <c r="O21" s="80"/>
    </row>
    <row r="22" spans="1:15" ht="15" thickBot="1">
      <c r="A22" s="80"/>
      <c r="O22" s="80"/>
    </row>
    <row r="23" spans="1:15">
      <c r="A23" s="80"/>
      <c r="C23" s="277" t="s">
        <v>292</v>
      </c>
      <c r="D23" s="278"/>
      <c r="E23" s="151" t="s">
        <v>293</v>
      </c>
      <c r="F23" s="152" t="s">
        <v>294</v>
      </c>
      <c r="H23" s="277" t="s">
        <v>299</v>
      </c>
      <c r="I23" s="279"/>
      <c r="O23" s="80"/>
    </row>
    <row r="24" spans="1:15">
      <c r="A24" s="80"/>
      <c r="C24" s="147" t="s">
        <v>295</v>
      </c>
      <c r="D24" s="129">
        <f>F7</f>
        <v>1906998</v>
      </c>
      <c r="E24" s="153">
        <f>D24/D27</f>
        <v>0.57360068507304163</v>
      </c>
      <c r="F24" s="154">
        <f>J12</f>
        <v>0.81062840699656891</v>
      </c>
      <c r="H24" s="147" t="s">
        <v>300</v>
      </c>
      <c r="I24" s="159">
        <f>D19</f>
        <v>1.0270425034530713E-2</v>
      </c>
      <c r="O24" s="80"/>
    </row>
    <row r="25" spans="1:15">
      <c r="A25" s="80"/>
      <c r="C25" s="147" t="s">
        <v>296</v>
      </c>
      <c r="D25" s="129">
        <f>G7</f>
        <v>1417611</v>
      </c>
      <c r="E25" s="153">
        <f>D25/D27</f>
        <v>0.42639931492695832</v>
      </c>
      <c r="F25" s="154">
        <f>1-F24</f>
        <v>0.18937159300343109</v>
      </c>
      <c r="H25" s="147" t="s">
        <v>301</v>
      </c>
      <c r="I25" s="159">
        <f>F24</f>
        <v>0.81062840699656891</v>
      </c>
      <c r="O25" s="80"/>
    </row>
    <row r="26" spans="1:15">
      <c r="A26" s="80"/>
      <c r="C26" s="147" t="s">
        <v>297</v>
      </c>
      <c r="D26">
        <v>0</v>
      </c>
      <c r="E26">
        <v>0</v>
      </c>
      <c r="F26" s="148">
        <v>0</v>
      </c>
      <c r="H26" s="147"/>
      <c r="I26" s="148"/>
      <c r="O26" s="80"/>
    </row>
    <row r="27" spans="1:15" ht="15" thickBot="1">
      <c r="A27" s="80"/>
      <c r="C27" s="149" t="s">
        <v>298</v>
      </c>
      <c r="D27" s="155">
        <f t="shared" ref="D27:F27" si="3">SUM(D24:D26)</f>
        <v>3324609</v>
      </c>
      <c r="E27" s="156">
        <f t="shared" si="3"/>
        <v>1</v>
      </c>
      <c r="F27" s="157">
        <f t="shared" si="3"/>
        <v>1</v>
      </c>
      <c r="H27" s="147" t="s">
        <v>284</v>
      </c>
      <c r="I27" s="159">
        <f>I20</f>
        <v>0.13812772300307088</v>
      </c>
      <c r="O27" s="80"/>
    </row>
    <row r="28" spans="1:15">
      <c r="A28" s="80"/>
      <c r="H28" s="147" t="s">
        <v>503</v>
      </c>
      <c r="I28" s="159">
        <f>F25</f>
        <v>0.18937159300343109</v>
      </c>
      <c r="O28" s="80"/>
    </row>
    <row r="29" spans="1:15">
      <c r="A29" s="80"/>
      <c r="H29" s="147"/>
      <c r="I29" s="148"/>
      <c r="O29" s="80"/>
    </row>
    <row r="30" spans="1:15">
      <c r="A30" s="80"/>
      <c r="H30" s="147" t="s">
        <v>302</v>
      </c>
      <c r="I30" s="162">
        <v>0</v>
      </c>
      <c r="O30" s="80"/>
    </row>
    <row r="31" spans="1:15">
      <c r="A31" s="80"/>
      <c r="H31" s="147" t="s">
        <v>303</v>
      </c>
      <c r="I31" s="162">
        <v>0</v>
      </c>
      <c r="O31" s="80"/>
    </row>
    <row r="32" spans="1:15" ht="15" thickBot="1">
      <c r="A32" s="80"/>
      <c r="H32" s="147"/>
      <c r="I32" s="148"/>
      <c r="O32" s="80"/>
    </row>
    <row r="33" spans="1:15" ht="15" thickBot="1">
      <c r="A33" s="80"/>
      <c r="H33" s="163" t="s">
        <v>304</v>
      </c>
      <c r="I33" s="164">
        <f>I24*I25+I27*I28+I30*I31</f>
        <v>3.4482965227947519E-2</v>
      </c>
      <c r="O33" s="80"/>
    </row>
    <row r="34" spans="1:15">
      <c r="A34" s="80"/>
      <c r="O34" s="80"/>
    </row>
    <row r="35" spans="1:15">
      <c r="A35" s="80"/>
      <c r="O35" s="80"/>
    </row>
    <row r="36" spans="1:15">
      <c r="A36" s="80"/>
      <c r="O36" s="80"/>
    </row>
    <row r="37" spans="1:15">
      <c r="A37" s="80"/>
      <c r="O37" s="80"/>
    </row>
    <row r="38" spans="1:15">
      <c r="A38" s="80"/>
      <c r="O38" s="80"/>
    </row>
    <row r="39" spans="1:15">
      <c r="A39" s="80"/>
      <c r="O39" s="80"/>
    </row>
    <row r="40" spans="1:15">
      <c r="A40" s="80"/>
      <c r="O40" s="80"/>
    </row>
    <row r="41" spans="1:15">
      <c r="A41" s="80"/>
      <c r="O41" s="80"/>
    </row>
    <row r="42" spans="1:15">
      <c r="A42" s="80"/>
      <c r="O42" s="80"/>
    </row>
    <row r="43" spans="1:15">
      <c r="A43" s="80"/>
      <c r="O43" s="80"/>
    </row>
    <row r="44" spans="1:15">
      <c r="A44" s="80"/>
      <c r="O44" s="80"/>
    </row>
    <row r="45" spans="1:15">
      <c r="A45" s="80"/>
      <c r="O45" s="80"/>
    </row>
    <row r="46" spans="1:15">
      <c r="A46" s="80"/>
      <c r="O46" s="80"/>
    </row>
    <row r="47" spans="1:15">
      <c r="A47" s="80"/>
      <c r="O47" s="80"/>
    </row>
    <row r="48" spans="1:15">
      <c r="A48" s="80"/>
      <c r="O48" s="80"/>
    </row>
    <row r="49" spans="1:15">
      <c r="A49" s="80"/>
      <c r="O49" s="80"/>
    </row>
    <row r="50" spans="1:15">
      <c r="A50" s="80"/>
      <c r="O50" s="80"/>
    </row>
    <row r="51" spans="1:15">
      <c r="A51" s="80"/>
      <c r="O51" s="80"/>
    </row>
    <row r="52" spans="1:15">
      <c r="A52" s="80"/>
      <c r="O52" s="80"/>
    </row>
    <row r="53" spans="1:15">
      <c r="A53" s="80"/>
      <c r="O53" s="80"/>
    </row>
    <row r="54" spans="1:15">
      <c r="A54" s="80"/>
      <c r="O54" s="80"/>
    </row>
    <row r="55" spans="1:15">
      <c r="A55" s="80"/>
      <c r="O55" s="80"/>
    </row>
    <row r="56" spans="1:15">
      <c r="A56" s="80"/>
      <c r="O56" s="80"/>
    </row>
    <row r="57" spans="1:15">
      <c r="A57" s="80"/>
      <c r="O57" s="80"/>
    </row>
    <row r="58" spans="1:15">
      <c r="A58" s="80"/>
      <c r="O58" s="80"/>
    </row>
    <row r="59" spans="1:15">
      <c r="A59" s="80"/>
      <c r="O59" s="80"/>
    </row>
    <row r="60" spans="1:15">
      <c r="A60" s="80"/>
      <c r="O60" s="80"/>
    </row>
    <row r="61" spans="1:15">
      <c r="A61" s="80"/>
      <c r="O61" s="80"/>
    </row>
    <row r="62" spans="1:15">
      <c r="A62" s="80"/>
      <c r="O62" s="80"/>
    </row>
    <row r="63" spans="1:15">
      <c r="A63" s="80"/>
      <c r="O63" s="80"/>
    </row>
    <row r="64" spans="1:15">
      <c r="A64" s="80"/>
      <c r="O64" s="80"/>
    </row>
    <row r="65" spans="1:15">
      <c r="A65" s="80"/>
      <c r="O65" s="80"/>
    </row>
    <row r="66" spans="1:15">
      <c r="A66" s="80"/>
      <c r="O66" s="80"/>
    </row>
    <row r="67" spans="1:15">
      <c r="A67" s="80"/>
      <c r="O67" s="80"/>
    </row>
    <row r="68" spans="1:15">
      <c r="A68" s="80"/>
      <c r="O68" s="80"/>
    </row>
    <row r="69" spans="1:15">
      <c r="A69" s="80"/>
      <c r="O69" s="80"/>
    </row>
    <row r="70" spans="1:15">
      <c r="A70" s="80"/>
      <c r="O70" s="80"/>
    </row>
    <row r="71" spans="1:15">
      <c r="A71" s="80"/>
      <c r="O71" s="80"/>
    </row>
    <row r="72" spans="1:15">
      <c r="A72" s="80"/>
      <c r="O72" s="80"/>
    </row>
    <row r="73" spans="1:15">
      <c r="A73" s="80"/>
      <c r="O73" s="80"/>
    </row>
    <row r="74" spans="1:15">
      <c r="A74" s="80"/>
      <c r="O74" s="80"/>
    </row>
    <row r="75" spans="1:15">
      <c r="A75" s="80"/>
      <c r="O75" s="80"/>
    </row>
    <row r="76" spans="1:15">
      <c r="A76" s="80"/>
      <c r="O76" s="80"/>
    </row>
    <row r="77" spans="1:15">
      <c r="A77" s="80"/>
      <c r="O77" s="80"/>
    </row>
    <row r="78" spans="1:15">
      <c r="A78" s="80"/>
      <c r="O78" s="80"/>
    </row>
    <row r="79" spans="1:15">
      <c r="A79" s="80"/>
      <c r="O79" s="80"/>
    </row>
    <row r="80" spans="1:15">
      <c r="A80" s="80"/>
      <c r="O80" s="80"/>
    </row>
    <row r="81" spans="1:15">
      <c r="A81" s="80"/>
      <c r="O81" s="80"/>
    </row>
    <row r="82" spans="1:15">
      <c r="A82" s="80"/>
      <c r="O82" s="80"/>
    </row>
    <row r="83" spans="1:15">
      <c r="A83" s="80"/>
      <c r="O83" s="80"/>
    </row>
    <row r="84" spans="1:15">
      <c r="A84" s="80"/>
      <c r="O84" s="80"/>
    </row>
    <row r="85" spans="1:15">
      <c r="A85" s="80"/>
      <c r="O85" s="80"/>
    </row>
    <row r="86" spans="1:15">
      <c r="A86" s="80"/>
      <c r="O86" s="80"/>
    </row>
    <row r="87" spans="1:15">
      <c r="A87" s="80"/>
      <c r="O87" s="80"/>
    </row>
    <row r="88" spans="1:15">
      <c r="A88" s="80"/>
      <c r="O88" s="80"/>
    </row>
    <row r="89" spans="1:15">
      <c r="A89" s="80"/>
      <c r="O89" s="80"/>
    </row>
    <row r="90" spans="1:15">
      <c r="A90" s="80"/>
      <c r="O90" s="80"/>
    </row>
    <row r="91" spans="1:15">
      <c r="A91" s="80"/>
      <c r="O91" s="80"/>
    </row>
    <row r="92" spans="1:15">
      <c r="A92" s="80"/>
      <c r="O92" s="80"/>
    </row>
    <row r="93" spans="1:15">
      <c r="A93" s="80"/>
      <c r="O93" s="80"/>
    </row>
    <row r="94" spans="1:15">
      <c r="A94" s="80"/>
      <c r="O94" s="80"/>
    </row>
    <row r="95" spans="1:15">
      <c r="A95" s="80"/>
      <c r="O95" s="80"/>
    </row>
    <row r="96" spans="1:15">
      <c r="A96" s="80"/>
      <c r="O96" s="80"/>
    </row>
    <row r="97" spans="1:15">
      <c r="A97" s="80"/>
      <c r="O97" s="80"/>
    </row>
    <row r="98" spans="1:15">
      <c r="A98" s="80"/>
      <c r="O98" s="80"/>
    </row>
    <row r="99" spans="1:15">
      <c r="A99" s="80"/>
      <c r="O99" s="80"/>
    </row>
    <row r="100" spans="1:15">
      <c r="A100" s="80"/>
      <c r="O100" s="80"/>
    </row>
    <row r="101" spans="1:15">
      <c r="A101" s="80"/>
      <c r="B101" s="80"/>
      <c r="C101" s="80"/>
      <c r="D101" s="80"/>
      <c r="E101" s="80"/>
      <c r="F101" s="80"/>
      <c r="G101" s="80"/>
      <c r="H101" s="80"/>
      <c r="I101" s="80"/>
      <c r="J101" s="80"/>
      <c r="K101" s="80"/>
      <c r="L101" s="80"/>
      <c r="M101" s="80"/>
      <c r="N101" s="80"/>
      <c r="O101" s="80"/>
    </row>
  </sheetData>
  <mergeCells count="10">
    <mergeCell ref="C23:D23"/>
    <mergeCell ref="H16:I16"/>
    <mergeCell ref="H23:I23"/>
    <mergeCell ref="C16:D16"/>
    <mergeCell ref="K16:L16"/>
    <mergeCell ref="B2:C2"/>
    <mergeCell ref="B3:C3"/>
    <mergeCell ref="D3:F3"/>
    <mergeCell ref="G3:I3"/>
    <mergeCell ref="B4:C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4FB26-6A3A-4BEE-865D-B852328507CC}">
  <dimension ref="A1:N100"/>
  <sheetViews>
    <sheetView showGridLines="0" topLeftCell="A10" workbookViewId="0">
      <selection activeCell="B2" sqref="B2:L73"/>
    </sheetView>
  </sheetViews>
  <sheetFormatPr defaultColWidth="0" defaultRowHeight="14.4"/>
  <cols>
    <col min="1" max="2" width="3.77734375" customWidth="1"/>
    <col min="3" max="3" width="50.77734375" customWidth="1"/>
    <col min="4" max="9" width="12.109375" bestFit="1" customWidth="1"/>
    <col min="10" max="11" width="9.44140625" bestFit="1" customWidth="1"/>
    <col min="12" max="12" width="9.88671875" bestFit="1" customWidth="1"/>
    <col min="13" max="13" width="3.77734375" customWidth="1"/>
    <col min="14" max="14" width="3.77734375" hidden="1" customWidth="1"/>
    <col min="15" max="16384" width="8.88671875" hidden="1"/>
  </cols>
  <sheetData>
    <row r="1" spans="1:13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</row>
    <row r="2" spans="1:13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78"/>
      <c r="K2" s="78"/>
      <c r="L2" s="78"/>
      <c r="M2" s="80"/>
    </row>
    <row r="3" spans="1:13">
      <c r="A3" s="80"/>
      <c r="B3" s="267" t="s">
        <v>385</v>
      </c>
      <c r="C3" s="267"/>
      <c r="D3" s="268" t="s">
        <v>8</v>
      </c>
      <c r="E3" s="268"/>
      <c r="F3" s="268"/>
      <c r="G3" s="268" t="s">
        <v>9</v>
      </c>
      <c r="H3" s="268"/>
      <c r="I3" s="268"/>
      <c r="J3" s="268" t="s">
        <v>306</v>
      </c>
      <c r="K3" s="268"/>
      <c r="L3" s="268"/>
      <c r="M3" s="80"/>
    </row>
    <row r="4" spans="1:13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79" t="s">
        <v>307</v>
      </c>
      <c r="K4" s="79" t="s">
        <v>308</v>
      </c>
      <c r="L4" s="79" t="s">
        <v>309</v>
      </c>
      <c r="M4" s="80"/>
    </row>
    <row r="5" spans="1:13">
      <c r="A5" s="80"/>
      <c r="G5" s="4"/>
      <c r="H5" s="4"/>
      <c r="I5" s="4"/>
      <c r="J5" s="4"/>
      <c r="K5" s="4"/>
      <c r="L5" s="4"/>
      <c r="M5" s="80"/>
    </row>
    <row r="6" spans="1:13">
      <c r="A6" s="80"/>
      <c r="B6" s="165" t="s">
        <v>310</v>
      </c>
      <c r="C6" s="6"/>
      <c r="G6" s="4"/>
      <c r="H6" s="4"/>
      <c r="I6" s="4"/>
      <c r="J6" s="4"/>
      <c r="K6" s="4"/>
      <c r="L6" s="4"/>
      <c r="M6" s="80"/>
    </row>
    <row r="7" spans="1:13">
      <c r="A7" s="80"/>
      <c r="C7" t="s">
        <v>311</v>
      </c>
      <c r="E7" s="122">
        <v>7.3037274730336055E-2</v>
      </c>
      <c r="F7" s="122">
        <v>3.6949691442167865E-2</v>
      </c>
      <c r="G7" s="177">
        <v>4.2133342922456629E-2</v>
      </c>
      <c r="H7" s="177">
        <v>4.2726057175298759E-2</v>
      </c>
      <c r="I7" s="177">
        <f>'Income Statement'!I7/'Income Statement'!H7-1</f>
        <v>4.3270558303382334E-2</v>
      </c>
      <c r="J7" s="4"/>
      <c r="K7" s="4"/>
      <c r="L7" s="4"/>
      <c r="M7" s="80"/>
    </row>
    <row r="8" spans="1:13">
      <c r="A8" s="80"/>
      <c r="C8" t="s">
        <v>312</v>
      </c>
      <c r="E8" s="122">
        <f>'Income Statement'!E11/'Income Statement'!D11-1</f>
        <v>0.30170018734975756</v>
      </c>
      <c r="F8" s="122">
        <f>'Income Statement'!F11/'Income Statement'!E11-1</f>
        <v>0.10294073588503094</v>
      </c>
      <c r="G8" s="177">
        <f>'Income Statement'!G11/'Income Statement'!F11-1</f>
        <v>-5.68061907595383E-2</v>
      </c>
      <c r="H8" s="177">
        <f>'Income Statement'!H11/'Income Statement'!G11-1</f>
        <v>4.2726057175298315E-2</v>
      </c>
      <c r="I8" s="177">
        <f>'Income Statement'!I11/'Income Statement'!H11-1</f>
        <v>4.3270558303382556E-2</v>
      </c>
      <c r="J8" s="4"/>
      <c r="K8" s="4"/>
      <c r="L8" s="4"/>
      <c r="M8" s="80"/>
    </row>
    <row r="9" spans="1:13">
      <c r="A9" s="80"/>
      <c r="C9" t="s">
        <v>313</v>
      </c>
      <c r="E9" s="122">
        <f>'Income Statement'!E19/'Income Statement'!D19-1</f>
        <v>-5.0639532450866942E-2</v>
      </c>
      <c r="F9" s="122">
        <f>'Income Statement'!F19/'Income Statement'!E19-1</f>
        <v>0.5503520048974595</v>
      </c>
      <c r="G9" s="177">
        <f>'Income Statement'!G19/'Income Statement'!F19-1</f>
        <v>-0.11034146684032531</v>
      </c>
      <c r="H9" s="177">
        <f>'Income Statement'!H19/'Income Statement'!G19-1</f>
        <v>2.5138473192548361E-2</v>
      </c>
      <c r="I9" s="177">
        <f>'Income Statement'!I19/'Income Statement'!H19-1</f>
        <v>7.3544193447012018E-2</v>
      </c>
      <c r="J9" s="4"/>
      <c r="K9" s="4"/>
      <c r="L9" s="4"/>
      <c r="M9" s="80"/>
    </row>
    <row r="10" spans="1:13">
      <c r="A10" s="80"/>
      <c r="G10" s="4"/>
      <c r="H10" s="4"/>
      <c r="I10" s="4"/>
      <c r="J10" s="4"/>
      <c r="K10" s="4"/>
      <c r="L10" s="4"/>
      <c r="M10" s="80"/>
    </row>
    <row r="11" spans="1:13">
      <c r="A11" s="80"/>
      <c r="B11" s="165" t="s">
        <v>314</v>
      </c>
      <c r="G11" s="4"/>
      <c r="H11" s="4"/>
      <c r="I11" s="4"/>
      <c r="J11" s="4"/>
      <c r="K11" s="4"/>
      <c r="L11" s="4"/>
      <c r="M11" s="80"/>
    </row>
    <row r="12" spans="1:13">
      <c r="A12" s="80"/>
      <c r="C12" t="s">
        <v>315</v>
      </c>
      <c r="D12" s="122">
        <f>'Income Statement'!D9/'Income Statement'!D7</f>
        <v>0.36735523242622065</v>
      </c>
      <c r="E12" s="122">
        <f>'Income Statement'!E9/'Income Statement'!E7</f>
        <v>0.39055702721639085</v>
      </c>
      <c r="F12" s="122">
        <f>'Income Statement'!F9/'Income Statement'!F7</f>
        <v>0.39902787303129578</v>
      </c>
      <c r="G12" s="177">
        <f>'Income Statement'!G9/'Income Statement'!G7</f>
        <v>0.38564671089130254</v>
      </c>
      <c r="H12" s="177">
        <f>'Income Statement'!H9/'Income Statement'!H7</f>
        <v>0.38564671089130248</v>
      </c>
      <c r="I12" s="177">
        <f>'Income Statement'!I9/'Income Statement'!I7</f>
        <v>0.38564671089130254</v>
      </c>
      <c r="J12" s="4"/>
      <c r="K12" s="202">
        <v>0.37819999999999998</v>
      </c>
      <c r="L12" s="4" t="s">
        <v>464</v>
      </c>
      <c r="M12" s="80"/>
    </row>
    <row r="13" spans="1:13">
      <c r="A13" s="80"/>
      <c r="C13" t="s">
        <v>316</v>
      </c>
      <c r="D13" s="122">
        <f>'Income Statement'!D11/'Income Statement'!D7</f>
        <v>0.10337872041363938</v>
      </c>
      <c r="E13" s="122">
        <f>'Income Statement'!E11/'Income Statement'!E7</f>
        <v>0.12540859753845063</v>
      </c>
      <c r="F13" s="122">
        <f>'Income Statement'!F11/'Income Statement'!F7</f>
        <v>0.13338954820749144</v>
      </c>
      <c r="G13" s="177">
        <f>'Income Statement'!G11/'Income Statement'!G7</f>
        <v>0.12072562205319394</v>
      </c>
      <c r="H13" s="177">
        <f>'Income Statement'!H11/'Income Statement'!H7</f>
        <v>0.12072562205319388</v>
      </c>
      <c r="I13" s="177">
        <f>'Income Statement'!I11/'Income Statement'!I7</f>
        <v>0.12072562205319391</v>
      </c>
      <c r="J13" s="4"/>
      <c r="K13" s="202">
        <v>9.6699999999999994E-2</v>
      </c>
      <c r="L13" s="4" t="s">
        <v>464</v>
      </c>
      <c r="M13" s="80"/>
    </row>
    <row r="14" spans="1:13">
      <c r="A14" s="80"/>
      <c r="C14" t="s">
        <v>317</v>
      </c>
      <c r="D14" s="122">
        <f>'Income Statement'!D19/'Income Statement'!D7</f>
        <v>6.9369615044903549E-2</v>
      </c>
      <c r="E14" s="122">
        <f>'Income Statement'!E19/'Income Statement'!E7</f>
        <v>6.1374168189342181E-2</v>
      </c>
      <c r="F14" s="122">
        <f>'Income Statement'!F19/'Income Statement'!F7</f>
        <v>9.176102320733201E-2</v>
      </c>
      <c r="G14" s="177">
        <f>'Income Statement'!G19/'Income Statement'!G7</f>
        <v>7.8335443215869036E-2</v>
      </c>
      <c r="H14" s="177">
        <f>'Income Statement'!H19/'Income Statement'!H7</f>
        <v>7.7014165036519325E-2</v>
      </c>
      <c r="I14" s="177">
        <f>'Income Statement'!I19/'Income Statement'!I7</f>
        <v>7.9248962821859364E-2</v>
      </c>
      <c r="J14" s="4"/>
      <c r="K14" s="202">
        <v>7.6700000000000004E-2</v>
      </c>
      <c r="L14" s="4" t="s">
        <v>464</v>
      </c>
      <c r="M14" s="80"/>
    </row>
    <row r="15" spans="1:13">
      <c r="A15" s="80"/>
      <c r="G15" s="4"/>
      <c r="H15" s="4"/>
      <c r="I15" s="4"/>
      <c r="J15" s="4"/>
      <c r="K15" s="4"/>
      <c r="L15" s="4"/>
      <c r="M15" s="80"/>
    </row>
    <row r="16" spans="1:13">
      <c r="A16" s="80"/>
      <c r="B16" s="165" t="s">
        <v>318</v>
      </c>
      <c r="G16" s="4"/>
      <c r="H16" s="4"/>
      <c r="I16" s="4"/>
      <c r="J16" s="4"/>
      <c r="K16" s="4"/>
      <c r="L16" s="4"/>
      <c r="M16" s="80"/>
    </row>
    <row r="17" spans="1:13">
      <c r="A17" s="80"/>
      <c r="C17" t="s">
        <v>319</v>
      </c>
      <c r="D17" s="122">
        <f>'Income Statement'!D19/AVERAGE('Balance Sheet'!D60:E60)</f>
        <v>0.47084514118524018</v>
      </c>
      <c r="E17" s="122">
        <f>'Income Statement'!E19/AVERAGE('Balance Sheet'!E60:F60)</f>
        <v>0.32017031845725535</v>
      </c>
      <c r="F17" s="122">
        <f>'Income Statement'!F19/AVERAGE('Balance Sheet'!F60:G60)</f>
        <v>0.4437985440253413</v>
      </c>
      <c r="G17" s="177">
        <f>'Income Statement'!G19/AVERAGE('Balance Sheet'!G60:H60)</f>
        <v>0.33147989035126313</v>
      </c>
      <c r="H17" s="177">
        <f>'Income Statement'!H19/AVERAGE('Balance Sheet'!H60:I60)</f>
        <v>0.2544182382971597</v>
      </c>
      <c r="I17" s="177">
        <f>'Income Statement'!I19/AVERAGE('Balance Sheet'!I60:J60)</f>
        <v>0.21612193375174493</v>
      </c>
      <c r="J17" s="4"/>
      <c r="K17" s="202">
        <v>0.1229</v>
      </c>
      <c r="L17" s="4" t="s">
        <v>464</v>
      </c>
      <c r="M17" s="80"/>
    </row>
    <row r="18" spans="1:13">
      <c r="A18" s="80"/>
      <c r="C18" t="s">
        <v>320</v>
      </c>
      <c r="D18" s="122">
        <f>'Income Statement'!D11/('Balance Sheet'!E26-'Balance Sheet'!E39)</f>
        <v>0.2285870469467681</v>
      </c>
      <c r="E18" s="122">
        <f>'Income Statement'!E11/('Balance Sheet'!F26-'Balance Sheet'!F39)</f>
        <v>0.26096100585187426</v>
      </c>
      <c r="F18" s="122">
        <f>'Income Statement'!F11/('Balance Sheet'!G26-'Balance Sheet'!G39)</f>
        <v>0.23008922566919252</v>
      </c>
      <c r="G18" s="177">
        <f>'Income Statement'!G11/('Balance Sheet'!H26-'Balance Sheet'!H39)</f>
        <v>0.19961852931252735</v>
      </c>
      <c r="H18" s="177">
        <f>'Income Statement'!H11/('Balance Sheet'!I26-'Balance Sheet'!I39)</f>
        <v>0.18497283526507249</v>
      </c>
      <c r="I18" s="177">
        <f>'Income Statement'!I11/('Balance Sheet'!J26-'Balance Sheet'!J39)</f>
        <v>0.16997837988314948</v>
      </c>
      <c r="J18" s="4"/>
      <c r="K18" s="4"/>
      <c r="L18" s="4"/>
      <c r="M18" s="80"/>
    </row>
    <row r="19" spans="1:13">
      <c r="A19" s="80"/>
      <c r="C19" t="s">
        <v>321</v>
      </c>
      <c r="D19" s="122">
        <f>'Income Statement'!D11*(1-'Income Statement'!D18)/('Balance Sheet'!E26-'Balance Sheet'!E39-'Balance Sheet'!E9)</f>
        <v>0.18394434599114409</v>
      </c>
      <c r="E19" s="122">
        <f>'Income Statement'!E11*(1-'Income Statement'!E18)/('Balance Sheet'!F26-'Balance Sheet'!F39-'Balance Sheet'!F9)</f>
        <v>0.23855763999227975</v>
      </c>
      <c r="F19" s="122">
        <f>'Income Statement'!F11*(1-'Income Statement'!F18)/('Balance Sheet'!G26-'Balance Sheet'!G39-'Balance Sheet'!G9)</f>
        <v>0.2374881147131277</v>
      </c>
      <c r="G19" s="177">
        <f>'Income Statement'!G11*(1-'Income Statement'!G18)/('Balance Sheet'!H26-'Balance Sheet'!H39-'Balance Sheet'!H9)</f>
        <v>0.21285105037905216</v>
      </c>
      <c r="H19" s="177">
        <f>'Income Statement'!H11*(1-'Income Statement'!H18)/('Balance Sheet'!I26-'Balance Sheet'!I39-'Balance Sheet'!I9)</f>
        <v>0.20222100006567922</v>
      </c>
      <c r="I19" s="177">
        <f>'Income Statement'!I11*(1-'Income Statement'!I18)/('Balance Sheet'!J26-'Balance Sheet'!J39-'Balance Sheet'!J9)</f>
        <v>0.19073238945556181</v>
      </c>
      <c r="J19" s="4"/>
      <c r="K19" s="4"/>
      <c r="L19" s="4"/>
      <c r="M19" s="80"/>
    </row>
    <row r="20" spans="1:13">
      <c r="A20" s="80"/>
      <c r="C20" t="s">
        <v>322</v>
      </c>
      <c r="D20" s="122">
        <f>'Income Statement'!D19/AVERAGE('Balance Sheet'!D26:E26)</f>
        <v>0.12023789974025574</v>
      </c>
      <c r="E20" s="122">
        <f>'Income Statement'!E19/AVERAGE('Balance Sheet'!E26:F26)</f>
        <v>0.10211306213287588</v>
      </c>
      <c r="F20" s="122">
        <f>'Income Statement'!F19/AVERAGE('Balance Sheet'!F26:G26)</f>
        <v>0.13187245556458022</v>
      </c>
      <c r="G20" s="177">
        <f>'Income Statement'!G19/AVERAGE('Balance Sheet'!G26:H26)</f>
        <v>0.10227659866131762</v>
      </c>
      <c r="H20" s="177">
        <f>'Income Statement'!H19/AVERAGE('Balance Sheet'!H26:I26)</f>
        <v>9.6265022374282597E-2</v>
      </c>
      <c r="I20" s="177">
        <f>'Income Statement'!I19/AVERAGE('Balance Sheet'!I26:J26)</f>
        <v>9.324352300419271E-2</v>
      </c>
      <c r="J20" s="4"/>
      <c r="K20" s="202">
        <v>6.2799999999999995E-2</v>
      </c>
      <c r="L20" s="4" t="s">
        <v>464</v>
      </c>
      <c r="M20" s="80"/>
    </row>
    <row r="21" spans="1:13">
      <c r="A21" s="80"/>
      <c r="G21" s="4"/>
      <c r="H21" s="4"/>
      <c r="I21" s="4"/>
      <c r="J21" s="4"/>
      <c r="K21" s="4"/>
      <c r="L21" s="4"/>
      <c r="M21" s="80"/>
    </row>
    <row r="22" spans="1:13">
      <c r="A22" s="80"/>
      <c r="B22" s="165" t="s">
        <v>323</v>
      </c>
      <c r="G22" s="4"/>
      <c r="H22" s="4"/>
      <c r="I22" s="4"/>
      <c r="J22" s="4"/>
      <c r="K22" s="4"/>
      <c r="L22" s="4"/>
      <c r="M22" s="80"/>
    </row>
    <row r="23" spans="1:13">
      <c r="A23" s="80"/>
      <c r="C23" t="s">
        <v>324</v>
      </c>
      <c r="D23" s="179">
        <f>'Balance Sheet'!E18/'Balance Sheet'!E39</f>
        <v>1.3763384433180579</v>
      </c>
      <c r="E23" s="179">
        <f>'Balance Sheet'!F18/'Balance Sheet'!F39</f>
        <v>1.5624254352929534</v>
      </c>
      <c r="F23" s="179">
        <f>'Balance Sheet'!G18/'Balance Sheet'!G39</f>
        <v>1.9398127735272459</v>
      </c>
      <c r="G23" s="180">
        <f>'Balance Sheet'!H18/'Balance Sheet'!H39</f>
        <v>1.9330274153320022</v>
      </c>
      <c r="H23" s="180">
        <f>'Balance Sheet'!I18/'Balance Sheet'!I39</f>
        <v>2.1025479749111979</v>
      </c>
      <c r="I23" s="180">
        <f>'Balance Sheet'!J18/'Balance Sheet'!J39</f>
        <v>2.3317491647720545</v>
      </c>
      <c r="J23" s="4"/>
      <c r="K23" s="232" t="s">
        <v>463</v>
      </c>
      <c r="L23" s="4" t="s">
        <v>464</v>
      </c>
      <c r="M23" s="80"/>
    </row>
    <row r="24" spans="1:13">
      <c r="A24" s="80"/>
      <c r="C24" t="s">
        <v>325</v>
      </c>
      <c r="D24" s="179">
        <f>('Balance Sheet'!E18-'Balance Sheet'!E15)/'Balance Sheet'!E39</f>
        <v>0.99237700462682676</v>
      </c>
      <c r="E24" s="179">
        <f>('Balance Sheet'!F18-'Balance Sheet'!F15)/'Balance Sheet'!F39</f>
        <v>1.2674360003445324</v>
      </c>
      <c r="F24" s="179">
        <f>('Balance Sheet'!G18-'Balance Sheet'!G15)/'Balance Sheet'!G39</f>
        <v>1.6882114944839544</v>
      </c>
      <c r="G24" s="180">
        <f>('Balance Sheet'!H18-'Balance Sheet'!H15)/'Balance Sheet'!H39</f>
        <v>1.6634500557938465</v>
      </c>
      <c r="H24" s="180">
        <f>('Balance Sheet'!I18-'Balance Sheet'!I15)/'Balance Sheet'!I39</f>
        <v>1.8378786282868651</v>
      </c>
      <c r="I24" s="180">
        <f>('Balance Sheet'!J18-'Balance Sheet'!J15)/'Balance Sheet'!J39</f>
        <v>2.0627107874754724</v>
      </c>
      <c r="J24" s="4"/>
      <c r="K24" s="232" t="s">
        <v>465</v>
      </c>
      <c r="L24" s="4" t="s">
        <v>464</v>
      </c>
      <c r="M24" s="80"/>
    </row>
    <row r="25" spans="1:13">
      <c r="A25" s="80"/>
      <c r="C25" t="s">
        <v>326</v>
      </c>
      <c r="D25" s="179">
        <f>'Balance Sheet'!E9/'Balance Sheet'!E39</f>
        <v>0.2183579405097022</v>
      </c>
      <c r="E25" s="179">
        <f>'Balance Sheet'!F9/'Balance Sheet'!F39</f>
        <v>0.58210318747514511</v>
      </c>
      <c r="F25" s="179">
        <f>'Balance Sheet'!G9/'Balance Sheet'!G39</f>
        <v>0.86494883750682505</v>
      </c>
      <c r="G25" s="180">
        <f>'Balance Sheet'!H9/'Balance Sheet'!H39</f>
        <v>0.98649911309938942</v>
      </c>
      <c r="H25" s="180">
        <f>'Balance Sheet'!I9/'Balance Sheet'!I39</f>
        <v>1.1310139391710954</v>
      </c>
      <c r="I25" s="180">
        <f>'Balance Sheet'!J9/'Balance Sheet'!J39</f>
        <v>1.3119716893732618</v>
      </c>
      <c r="J25" s="4"/>
      <c r="K25" s="232" t="s">
        <v>466</v>
      </c>
      <c r="L25" s="4" t="s">
        <v>464</v>
      </c>
      <c r="M25" s="80"/>
    </row>
    <row r="26" spans="1:13">
      <c r="A26" s="80"/>
      <c r="G26" s="4"/>
      <c r="H26" s="4"/>
      <c r="I26" s="4"/>
      <c r="J26" s="4"/>
      <c r="K26" s="4"/>
      <c r="L26" s="4"/>
      <c r="M26" s="80"/>
    </row>
    <row r="27" spans="1:13">
      <c r="A27" s="80"/>
      <c r="B27" s="165" t="s">
        <v>327</v>
      </c>
      <c r="G27" s="4"/>
      <c r="H27" s="4"/>
      <c r="I27" s="4"/>
      <c r="J27" s="4"/>
      <c r="K27" s="4"/>
      <c r="L27" s="4"/>
      <c r="M27" s="80"/>
    </row>
    <row r="28" spans="1:13">
      <c r="A28" s="80"/>
      <c r="C28" t="s">
        <v>328</v>
      </c>
      <c r="D28" s="179">
        <f>'Income Statement'!D7/AVERAGE('Balance Sheet'!D11:E11)</f>
        <v>12.348605071904588</v>
      </c>
      <c r="E28" s="179">
        <f>'Income Statement'!E7/AVERAGE('Balance Sheet'!E11:F11)</f>
        <v>12.231581462894539</v>
      </c>
      <c r="F28" s="179">
        <f>'Income Statement'!F7/AVERAGE('Balance Sheet'!F11:G11)</f>
        <v>12.281598382322315</v>
      </c>
      <c r="G28" s="180">
        <f>'Income Statement'!G7/AVERAGE('Balance Sheet'!G11:H11)</f>
        <v>12.283496355904168</v>
      </c>
      <c r="H28" s="180">
        <f>'Income Statement'!H7/AVERAGE('Balance Sheet'!H11:I11)</f>
        <v>12.219718678736326</v>
      </c>
      <c r="I28" s="180">
        <f>'Income Statement'!I7/AVERAGE('Balance Sheet'!I11:J11)</f>
        <v>12.276992835498291</v>
      </c>
      <c r="J28" s="4"/>
      <c r="K28" s="4"/>
      <c r="L28" s="4"/>
      <c r="M28" s="80"/>
    </row>
    <row r="29" spans="1:13">
      <c r="A29" s="80"/>
      <c r="C29" t="s">
        <v>329</v>
      </c>
      <c r="D29" s="181">
        <f t="shared" ref="D29:I29" si="1">365/D28</f>
        <v>29.557994435375054</v>
      </c>
      <c r="E29" s="181">
        <f t="shared" si="1"/>
        <v>29.840785601375924</v>
      </c>
      <c r="F29" s="181">
        <f t="shared" si="1"/>
        <v>29.719258734707342</v>
      </c>
      <c r="G29" s="182">
        <f t="shared" si="1"/>
        <v>29.714666689713276</v>
      </c>
      <c r="H29" s="182">
        <f t="shared" si="1"/>
        <v>29.869754746084354</v>
      </c>
      <c r="I29" s="182">
        <f t="shared" si="1"/>
        <v>29.730407510267607</v>
      </c>
      <c r="J29" s="4"/>
      <c r="K29" s="4"/>
      <c r="L29" s="4"/>
      <c r="M29" s="80"/>
    </row>
    <row r="30" spans="1:13">
      <c r="A30" s="80"/>
      <c r="C30" t="s">
        <v>330</v>
      </c>
      <c r="D30" s="179">
        <f>'Income Statement'!D8/AVERAGE('Balance Sheet'!D15:E15)</f>
        <v>12.063429049379147</v>
      </c>
      <c r="E30" s="179">
        <f>'Income Statement'!E8/AVERAGE('Balance Sheet'!E15:F15)</f>
        <v>12.114372861203597</v>
      </c>
      <c r="F30" s="179">
        <f>'Income Statement'!F8/AVERAGE('Balance Sheet'!F15:G15)</f>
        <v>12.713062620434229</v>
      </c>
      <c r="G30" s="180">
        <f>'Income Statement'!G8/AVERAGE('Balance Sheet'!G15:H15)</f>
        <v>12.710821935890143</v>
      </c>
      <c r="H30" s="180">
        <f>'Income Statement'!H8/AVERAGE('Balance Sheet'!H15:I15)</f>
        <v>12.522609560675324</v>
      </c>
      <c r="I30" s="180">
        <f>'Income Statement'!I8/AVERAGE('Balance Sheet'!I15:J15)</f>
        <v>12.648260024816935</v>
      </c>
      <c r="J30" s="4"/>
      <c r="K30" s="4"/>
      <c r="L30" s="4"/>
      <c r="M30" s="80"/>
    </row>
    <row r="31" spans="1:13">
      <c r="A31" s="80"/>
      <c r="C31" t="s">
        <v>331</v>
      </c>
      <c r="D31" s="181">
        <f t="shared" ref="D31:I31" si="2">365/D30</f>
        <v>30.256736994593172</v>
      </c>
      <c r="E31" s="181">
        <f t="shared" si="2"/>
        <v>30.129500237599277</v>
      </c>
      <c r="F31" s="181">
        <f t="shared" si="2"/>
        <v>28.710627084721541</v>
      </c>
      <c r="G31" s="182">
        <f t="shared" si="2"/>
        <v>28.715688241166358</v>
      </c>
      <c r="H31" s="182">
        <f t="shared" si="2"/>
        <v>29.147279425384891</v>
      </c>
      <c r="I31" s="182">
        <f t="shared" si="2"/>
        <v>28.857724246958849</v>
      </c>
      <c r="J31" s="4"/>
      <c r="K31" s="4" t="s">
        <v>467</v>
      </c>
      <c r="L31" s="4" t="s">
        <v>464</v>
      </c>
      <c r="M31" s="80"/>
    </row>
    <row r="32" spans="1:13">
      <c r="A32" s="80"/>
      <c r="C32" t="s">
        <v>332</v>
      </c>
      <c r="D32" s="179">
        <f>'Income Statement'!D8/AVERAGE('Balance Sheet'!D32:E32)</f>
        <v>11.692185495203764</v>
      </c>
      <c r="E32" s="179">
        <f>'Income Statement'!E8/AVERAGE('Balance Sheet'!E32:F32)</f>
        <v>11.030046607397615</v>
      </c>
      <c r="F32" s="179">
        <f>'Income Statement'!F8/AVERAGE('Balance Sheet'!F32:G32)</f>
        <v>11.543168531818941</v>
      </c>
      <c r="G32" s="180">
        <f>'Income Statement'!G8/AVERAGE('Balance Sheet'!G32:H32)</f>
        <v>12.184501065798893</v>
      </c>
      <c r="H32" s="180">
        <f>'Income Statement'!H8/AVERAGE('Balance Sheet'!H32:I32)</f>
        <v>11.586830930276182</v>
      </c>
      <c r="I32" s="180">
        <f>'Income Statement'!I8/AVERAGE('Balance Sheet'!I32:J32)</f>
        <v>11.770793644323955</v>
      </c>
      <c r="J32" s="4"/>
      <c r="K32" s="4"/>
      <c r="L32" s="4"/>
      <c r="M32" s="80"/>
    </row>
    <row r="33" spans="1:13">
      <c r="A33" s="80"/>
      <c r="C33" t="s">
        <v>333</v>
      </c>
      <c r="D33" s="181">
        <f t="shared" ref="D33:I33" si="3">365/D32</f>
        <v>31.217431518660575</v>
      </c>
      <c r="E33" s="181">
        <f t="shared" si="3"/>
        <v>33.091428621453183</v>
      </c>
      <c r="F33" s="181">
        <f t="shared" si="3"/>
        <v>31.620434111645455</v>
      </c>
      <c r="G33" s="182">
        <f t="shared" si="3"/>
        <v>29.956089135609453</v>
      </c>
      <c r="H33" s="182">
        <f t="shared" si="3"/>
        <v>31.501279529872271</v>
      </c>
      <c r="I33" s="182">
        <f t="shared" si="3"/>
        <v>31.008954113812727</v>
      </c>
      <c r="J33" s="4"/>
      <c r="K33" s="4" t="s">
        <v>468</v>
      </c>
      <c r="L33" s="4" t="s">
        <v>462</v>
      </c>
      <c r="M33" s="80"/>
    </row>
    <row r="34" spans="1:13">
      <c r="A34" s="80"/>
      <c r="C34" t="s">
        <v>334</v>
      </c>
      <c r="D34" s="179">
        <f>'Income Statement'!D7/'Balance Sheet'!E26</f>
        <v>1.6716219913763009</v>
      </c>
      <c r="E34" s="179">
        <f>'Income Statement'!E7/'Balance Sheet'!F26</f>
        <v>1.5513984567755872</v>
      </c>
      <c r="F34" s="179">
        <f>'Income Statement'!F7/'Balance Sheet'!G26</f>
        <v>1.2986138702563588</v>
      </c>
      <c r="G34" s="180">
        <f>'Income Statement'!G7/'Balance Sheet'!H26</f>
        <v>1.2611669992445838</v>
      </c>
      <c r="H34" s="180">
        <f>'Income Statement'!H7/'Balance Sheet'!I26</f>
        <v>1.1910174974093033</v>
      </c>
      <c r="I34" s="180">
        <f>'Income Statement'!I7/'Balance Sheet'!J26</f>
        <v>1.1172767430494011</v>
      </c>
      <c r="J34" s="4"/>
      <c r="K34" s="4"/>
      <c r="L34" s="4"/>
      <c r="M34" s="80"/>
    </row>
    <row r="35" spans="1:13">
      <c r="A35" s="80"/>
      <c r="G35" s="4"/>
      <c r="H35" s="4"/>
      <c r="I35" s="4"/>
      <c r="J35" s="4"/>
      <c r="K35" s="4"/>
      <c r="L35" s="4"/>
      <c r="M35" s="80"/>
    </row>
    <row r="36" spans="1:13">
      <c r="A36" s="80"/>
      <c r="C36" t="s">
        <v>335</v>
      </c>
      <c r="D36" s="181">
        <f t="shared" ref="D36:I36" si="4">D29+D31-D33</f>
        <v>28.597299911307651</v>
      </c>
      <c r="E36" s="181">
        <f t="shared" si="4"/>
        <v>26.878857217522018</v>
      </c>
      <c r="F36" s="181">
        <f t="shared" si="4"/>
        <v>26.809451707783428</v>
      </c>
      <c r="G36" s="182">
        <f t="shared" si="4"/>
        <v>28.474265795270178</v>
      </c>
      <c r="H36" s="182">
        <f t="shared" si="4"/>
        <v>27.515754641596978</v>
      </c>
      <c r="I36" s="182">
        <f t="shared" si="4"/>
        <v>27.579177643413729</v>
      </c>
      <c r="J36" s="4"/>
      <c r="K36" s="4"/>
      <c r="L36" s="4"/>
      <c r="M36" s="80"/>
    </row>
    <row r="37" spans="1:13">
      <c r="A37" s="80"/>
      <c r="G37" s="4"/>
      <c r="H37" s="4"/>
      <c r="I37" s="4"/>
      <c r="J37" s="4"/>
      <c r="K37" s="4"/>
      <c r="L37" s="4"/>
      <c r="M37" s="80"/>
    </row>
    <row r="38" spans="1:13">
      <c r="A38" s="80"/>
      <c r="B38" s="165" t="s">
        <v>336</v>
      </c>
      <c r="G38" s="4"/>
      <c r="H38" s="4"/>
      <c r="I38" s="4"/>
      <c r="J38" s="4"/>
      <c r="K38" s="4"/>
      <c r="L38" s="4"/>
      <c r="M38" s="80"/>
    </row>
    <row r="39" spans="1:13">
      <c r="A39" s="80"/>
      <c r="C39" t="s">
        <v>337</v>
      </c>
      <c r="D39" s="179">
        <f>('Balance Sheet'!E30+'Balance Sheet'!E31+'Balance Sheet'!E38+'Balance Sheet'!E43+'Balance Sheet'!E44+'Balance Sheet'!E45)/'Balance Sheet'!E60</f>
        <v>0.67692767001258758</v>
      </c>
      <c r="E39" s="179">
        <f>('Balance Sheet'!F30+'Balance Sheet'!F31+'Balance Sheet'!F38+'Balance Sheet'!F43+'Balance Sheet'!F44+'Balance Sheet'!F45)/'Balance Sheet'!F60</f>
        <v>0.51208137654134378</v>
      </c>
      <c r="F39" s="179">
        <f>('Balance Sheet'!G30+'Balance Sheet'!G31+'Balance Sheet'!G38+'Balance Sheet'!G43+'Balance Sheet'!G44+'Balance Sheet'!G45)/'Balance Sheet'!G60</f>
        <v>1.3452195277830097</v>
      </c>
      <c r="G39" s="180">
        <f>('Balance Sheet'!H30+'Balance Sheet'!H31+'Balance Sheet'!H38+'Balance Sheet'!H43+'Balance Sheet'!H44+'Balance Sheet'!H45)/'Balance Sheet'!H60</f>
        <v>0.82060393509763074</v>
      </c>
      <c r="H39" s="180">
        <f>('Balance Sheet'!I30+'Balance Sheet'!I31+'Balance Sheet'!I38+'Balance Sheet'!I43+'Balance Sheet'!I44+'Balance Sheet'!I45)/'Balance Sheet'!I60</f>
        <v>0.60395201420897393</v>
      </c>
      <c r="I39" s="180">
        <f>('Balance Sheet'!J30+'Balance Sheet'!J31+'Balance Sheet'!J38+'Balance Sheet'!J43+'Balance Sheet'!J44+'Balance Sheet'!J45)/'Balance Sheet'!J60</f>
        <v>0.48615409414314897</v>
      </c>
      <c r="J39" s="4"/>
      <c r="K39" s="232" t="s">
        <v>469</v>
      </c>
      <c r="L39" s="4" t="s">
        <v>462</v>
      </c>
      <c r="M39" s="80"/>
    </row>
    <row r="40" spans="1:13">
      <c r="A40" s="80"/>
      <c r="C40" t="s">
        <v>338</v>
      </c>
      <c r="D40" s="179">
        <f>('Balance Sheet'!E30+'Balance Sheet'!E31+'Balance Sheet'!E38+'Balance Sheet'!E43+'Balance Sheet'!E44+'Balance Sheet'!E45)/'Balance Sheet'!E26</f>
        <v>0.20353897850005864</v>
      </c>
      <c r="E40" s="179">
        <f>('Balance Sheet'!F30+'Balance Sheet'!F31+'Balance Sheet'!F38+'Balance Sheet'!F43+'Balance Sheet'!F44+'Balance Sheet'!F45)/'Balance Sheet'!F26</f>
        <v>0.1714042763926395</v>
      </c>
      <c r="F40" s="179">
        <f>('Balance Sheet'!G30+'Balance Sheet'!G31+'Balance Sheet'!G38+'Balance Sheet'!G43+'Balance Sheet'!G44+'Balance Sheet'!G45)/'Balance Sheet'!G26</f>
        <v>0.35892115753041659</v>
      </c>
      <c r="G40" s="180">
        <f>('Balance Sheet'!H30+'Balance Sheet'!H31+'Balance Sheet'!H38+'Balance Sheet'!H43+'Balance Sheet'!H44+'Balance Sheet'!H45)/'Balance Sheet'!H26</f>
        <v>0.28510772851554667</v>
      </c>
      <c r="H40" s="180">
        <f>('Balance Sheet'!I30+'Balance Sheet'!I31+'Balance Sheet'!I38+'Balance Sheet'!I43+'Balance Sheet'!I44+'Balance Sheet'!I45)/'Balance Sheet'!I26</f>
        <v>0.24544118531652606</v>
      </c>
      <c r="I40" s="180">
        <f>('Balance Sheet'!J30+'Balance Sheet'!J31+'Balance Sheet'!J38+'Balance Sheet'!J43+'Balance Sheet'!J44+'Balance Sheet'!J45)/'Balance Sheet'!J26</f>
        <v>0.22069531047497523</v>
      </c>
      <c r="J40" s="4"/>
      <c r="K40" s="4"/>
      <c r="L40" s="4"/>
      <c r="M40" s="80"/>
    </row>
    <row r="41" spans="1:13">
      <c r="A41" s="80"/>
      <c r="C41" t="s">
        <v>339</v>
      </c>
      <c r="D41" s="179">
        <f>'Income Statement'!D11/DRS!E66</f>
        <v>27.667112645662495</v>
      </c>
      <c r="E41" s="179">
        <f>'Income Statement'!E11/DRS!F66</f>
        <v>36.014285714285712</v>
      </c>
      <c r="F41" s="179">
        <f>'Income Statement'!F11/DRS!G66</f>
        <v>10.558104852586899</v>
      </c>
      <c r="G41" s="180">
        <f>'Income Statement'!G11/DRS!H66</f>
        <v>11.751298528962487</v>
      </c>
      <c r="H41" s="180">
        <f>'Income Statement'!H11/DRS!I66</f>
        <v>12.941915404335031</v>
      </c>
      <c r="I41" s="180">
        <f>'Income Statement'!I11/DRS!J66</f>
        <v>13.501919309395754</v>
      </c>
      <c r="J41" s="4"/>
      <c r="K41" s="232" t="s">
        <v>470</v>
      </c>
      <c r="L41" s="4" t="s">
        <v>464</v>
      </c>
      <c r="M41" s="80"/>
    </row>
    <row r="42" spans="1:13">
      <c r="A42" s="80"/>
      <c r="C42" t="s">
        <v>340</v>
      </c>
      <c r="D42" s="179">
        <f>'Income Statement'!D11/(DRS!E66+(-'Cash Flow Statement'!E40)+(-'Cash Flow Statement'!E38))</f>
        <v>27.266992769034452</v>
      </c>
      <c r="E42" s="179">
        <f>'Income Statement'!E11/(DRS!F66+(-'Cash Flow Statement'!F40)+(-'Cash Flow Statement'!F38))</f>
        <v>21.57207486686314</v>
      </c>
      <c r="F42" s="179">
        <f>'Income Statement'!F11/(DRS!G66+(-'Cash Flow Statement'!G40)+(-'Cash Flow Statement'!G38))</f>
        <v>2.4965190113114266</v>
      </c>
      <c r="G42" s="180">
        <f>'Income Statement'!G11/(DRS!H66+(-'Cash Flow Statement'!H40)+(-'Cash Flow Statement'!H38))</f>
        <v>5.6260744393291837</v>
      </c>
      <c r="H42" s="180">
        <f>'Income Statement'!H11/(DRS!I66+(-'Cash Flow Statement'!I40)+(-'Cash Flow Statement'!I38))</f>
        <v>12.941915404335031</v>
      </c>
      <c r="I42" s="180">
        <f>'Income Statement'!I11/(DRS!J66+(-'Cash Flow Statement'!J40)+(-'Cash Flow Statement'!J38))</f>
        <v>13.501919309395754</v>
      </c>
      <c r="J42" s="4"/>
      <c r="K42" s="4"/>
      <c r="L42" s="4"/>
      <c r="M42" s="80"/>
    </row>
    <row r="43" spans="1:13">
      <c r="A43" s="80"/>
      <c r="G43" s="4"/>
      <c r="H43" s="4"/>
      <c r="I43" s="4"/>
      <c r="J43" s="4"/>
      <c r="K43" s="4"/>
      <c r="L43" s="4"/>
      <c r="M43" s="80"/>
    </row>
    <row r="44" spans="1:13">
      <c r="A44" s="80"/>
      <c r="B44" s="165" t="s">
        <v>341</v>
      </c>
      <c r="G44" s="4"/>
      <c r="H44" s="4"/>
      <c r="I44" s="4"/>
      <c r="J44" s="4"/>
      <c r="K44" s="4"/>
      <c r="L44" s="4"/>
      <c r="M44" s="80"/>
    </row>
    <row r="45" spans="1:13">
      <c r="A45" s="80"/>
      <c r="C45" s="6" t="s">
        <v>342</v>
      </c>
      <c r="D45" s="228">
        <f t="shared" ref="D45:I45" si="5">D46/D47</f>
        <v>11.156408575453671</v>
      </c>
      <c r="E45" s="228">
        <f t="shared" si="5"/>
        <v>22.509406795224979</v>
      </c>
      <c r="F45" s="228">
        <f t="shared" si="5"/>
        <v>19.582875577492597</v>
      </c>
      <c r="G45" s="229">
        <f t="shared" si="5"/>
        <v>22.011676219125174</v>
      </c>
      <c r="H45" s="229">
        <f t="shared" si="5"/>
        <v>21.47190530326608</v>
      </c>
      <c r="I45" s="229">
        <f t="shared" si="5"/>
        <v>20.00095145996977</v>
      </c>
      <c r="J45" s="4"/>
      <c r="K45" s="232" t="s">
        <v>473</v>
      </c>
      <c r="L45" s="4" t="s">
        <v>462</v>
      </c>
      <c r="M45" s="80"/>
    </row>
    <row r="46" spans="1:13">
      <c r="A46" s="80"/>
      <c r="C46" t="s">
        <v>343</v>
      </c>
      <c r="D46">
        <f>BETA!D38</f>
        <v>44.88</v>
      </c>
      <c r="E46">
        <f>BETA!D26</f>
        <v>88.26</v>
      </c>
      <c r="F46">
        <f>BETA!D14</f>
        <v>123.11</v>
      </c>
      <c r="G46" s="4">
        <f t="shared" ref="G46:I46" si="6">F46</f>
        <v>123.11</v>
      </c>
      <c r="H46" s="4">
        <f t="shared" si="6"/>
        <v>123.11</v>
      </c>
      <c r="I46" s="4">
        <f t="shared" si="6"/>
        <v>123.11</v>
      </c>
      <c r="J46" s="4"/>
      <c r="K46" s="4"/>
      <c r="L46" s="4"/>
      <c r="M46" s="80"/>
    </row>
    <row r="47" spans="1:13">
      <c r="A47" s="80"/>
      <c r="C47" t="s">
        <v>344</v>
      </c>
      <c r="D47" s="121">
        <f>'Income Statement'!D29</f>
        <v>4.0227999625923498</v>
      </c>
      <c r="E47" s="121">
        <v>3.9210273643783005</v>
      </c>
      <c r="F47" s="121">
        <v>6.2866150332638266</v>
      </c>
      <c r="G47" s="178">
        <v>5.5929407090330558</v>
      </c>
      <c r="H47" s="178">
        <v>5.7335386991145958</v>
      </c>
      <c r="I47" s="178">
        <f>'Income Statement'!I29</f>
        <v>6.155207178338209</v>
      </c>
      <c r="J47" s="4"/>
      <c r="K47" s="4"/>
      <c r="L47" s="4"/>
      <c r="M47" s="80"/>
    </row>
    <row r="48" spans="1:13">
      <c r="A48" s="80"/>
      <c r="G48" s="4"/>
      <c r="H48" s="4"/>
      <c r="I48" s="4"/>
      <c r="J48" s="4"/>
      <c r="K48" s="4"/>
      <c r="L48" s="4"/>
      <c r="M48" s="80"/>
    </row>
    <row r="49" spans="1:13">
      <c r="A49" s="80"/>
      <c r="C49" s="6" t="s">
        <v>345</v>
      </c>
      <c r="D49" s="228">
        <f t="shared" ref="D49:I49" si="7">D50/D51</f>
        <v>4.3025551646601903</v>
      </c>
      <c r="E49" s="228">
        <f t="shared" si="7"/>
        <v>6.4031010073850769</v>
      </c>
      <c r="F49" s="228">
        <f t="shared" si="7"/>
        <v>8.745987509972764</v>
      </c>
      <c r="G49" s="229">
        <f t="shared" si="7"/>
        <v>6.2590529300802435</v>
      </c>
      <c r="H49" s="229">
        <f t="shared" si="7"/>
        <v>4.846345036905551</v>
      </c>
      <c r="I49" s="229">
        <f t="shared" si="7"/>
        <v>3.9010888711213707</v>
      </c>
      <c r="J49" s="4"/>
      <c r="K49" s="232" t="s">
        <v>472</v>
      </c>
      <c r="L49" s="4" t="s">
        <v>462</v>
      </c>
      <c r="M49" s="80"/>
    </row>
    <row r="50" spans="1:13">
      <c r="A50" s="80"/>
      <c r="C50" t="s">
        <v>346</v>
      </c>
      <c r="D50">
        <f t="shared" ref="D50:I50" si="8">D46</f>
        <v>44.88</v>
      </c>
      <c r="E50">
        <f t="shared" si="8"/>
        <v>88.26</v>
      </c>
      <c r="F50">
        <f t="shared" si="8"/>
        <v>123.11</v>
      </c>
      <c r="G50" s="4">
        <f t="shared" si="8"/>
        <v>123.11</v>
      </c>
      <c r="H50" s="4">
        <f t="shared" si="8"/>
        <v>123.11</v>
      </c>
      <c r="I50" s="4">
        <f t="shared" si="8"/>
        <v>123.11</v>
      </c>
      <c r="J50" s="4"/>
      <c r="K50" s="4"/>
      <c r="L50" s="4"/>
      <c r="M50" s="80"/>
    </row>
    <row r="51" spans="1:13">
      <c r="A51" s="80"/>
      <c r="C51" t="s">
        <v>347</v>
      </c>
      <c r="D51" s="121">
        <f>'Balance Sheet'!E60/'Income Statement'!D36</f>
        <v>10.431010941737584</v>
      </c>
      <c r="E51" s="121">
        <f>'Balance Sheet'!F60/'Income Statement'!E36</f>
        <v>13.783946231397023</v>
      </c>
      <c r="F51" s="121">
        <f>'Balance Sheet'!G60/'Income Statement'!F36</f>
        <v>14.076169198689305</v>
      </c>
      <c r="G51" s="178">
        <f>'Balance Sheet'!H60/'Income Statement'!G36</f>
        <v>19.669109907722362</v>
      </c>
      <c r="H51" s="178">
        <f>'Balance Sheet'!I60/'Income Statement'!H36</f>
        <v>25.402648606836959</v>
      </c>
      <c r="I51" s="178">
        <f>'Balance Sheet'!J60/'Income Statement'!I36</f>
        <v>31.557855785175164</v>
      </c>
      <c r="J51" s="4"/>
      <c r="K51" s="4"/>
      <c r="L51" s="4"/>
      <c r="M51" s="80"/>
    </row>
    <row r="52" spans="1:13">
      <c r="A52" s="80"/>
      <c r="G52" s="4"/>
      <c r="H52" s="4"/>
      <c r="I52" s="4"/>
      <c r="J52" s="4"/>
      <c r="K52" s="4"/>
      <c r="L52" s="4"/>
      <c r="M52" s="80"/>
    </row>
    <row r="53" spans="1:13">
      <c r="A53" s="80"/>
      <c r="C53" s="6" t="s">
        <v>348</v>
      </c>
      <c r="D53" s="228">
        <f t="shared" ref="D53:I53" si="9">D54/D55</f>
        <v>0.77391576816288199</v>
      </c>
      <c r="E53" s="228">
        <f t="shared" si="9"/>
        <v>1.3814961184924597</v>
      </c>
      <c r="F53" s="228">
        <f t="shared" si="9"/>
        <v>1.7969447003325933</v>
      </c>
      <c r="G53" s="229">
        <f t="shared" si="9"/>
        <v>1.7242944125493747</v>
      </c>
      <c r="H53" s="229">
        <f t="shared" si="9"/>
        <v>1.6536408586742486</v>
      </c>
      <c r="I53" s="229">
        <f t="shared" si="9"/>
        <v>1.5850546586529579</v>
      </c>
      <c r="J53" s="4"/>
      <c r="K53" s="232" t="s">
        <v>471</v>
      </c>
      <c r="L53" s="4" t="s">
        <v>498</v>
      </c>
      <c r="M53" s="80"/>
    </row>
    <row r="54" spans="1:13">
      <c r="A54" s="80"/>
      <c r="C54" t="s">
        <v>346</v>
      </c>
      <c r="D54">
        <f t="shared" ref="D54:I54" si="10">D50</f>
        <v>44.88</v>
      </c>
      <c r="E54">
        <f t="shared" si="10"/>
        <v>88.26</v>
      </c>
      <c r="F54">
        <f t="shared" si="10"/>
        <v>123.11</v>
      </c>
      <c r="G54" s="4">
        <f t="shared" si="10"/>
        <v>123.11</v>
      </c>
      <c r="H54" s="4">
        <f t="shared" si="10"/>
        <v>123.11</v>
      </c>
      <c r="I54" s="4">
        <f t="shared" si="10"/>
        <v>123.11</v>
      </c>
      <c r="J54" s="4"/>
      <c r="K54" s="4"/>
      <c r="L54" s="4"/>
      <c r="M54" s="80"/>
    </row>
    <row r="55" spans="1:13">
      <c r="A55" s="80"/>
      <c r="C55" t="s">
        <v>349</v>
      </c>
      <c r="D55" s="121">
        <f>'Income Statement'!D7/'Income Statement'!D36</f>
        <v>57.990807070045825</v>
      </c>
      <c r="E55" s="121">
        <f>'Income Statement'!E7/'Income Statement'!E36</f>
        <v>63.887258761401824</v>
      </c>
      <c r="F55" s="121">
        <f>'Income Statement'!F7/'Income Statement'!F36</f>
        <v>68.510733790090356</v>
      </c>
      <c r="G55" s="178">
        <f>'Income Statement'!G7/'Income Statement'!G36</f>
        <v>71.397320030737376</v>
      </c>
      <c r="H55" s="178">
        <f>'Income Statement'!H7/'Income Statement'!H36</f>
        <v>74.447846008533759</v>
      </c>
      <c r="I55" s="178">
        <f>'Income Statement'!I7/'Income Statement'!I36</f>
        <v>77.669245869807256</v>
      </c>
      <c r="J55" s="4"/>
      <c r="K55" s="4"/>
      <c r="L55" s="4"/>
      <c r="M55" s="80"/>
    </row>
    <row r="56" spans="1:13">
      <c r="A56" s="80"/>
      <c r="G56" s="4"/>
      <c r="H56" s="4"/>
      <c r="I56" s="4"/>
      <c r="J56" s="4"/>
      <c r="K56" s="4"/>
      <c r="L56" s="4"/>
      <c r="M56" s="80"/>
    </row>
    <row r="57" spans="1:13">
      <c r="A57" s="80"/>
      <c r="C57" s="6" t="s">
        <v>350</v>
      </c>
      <c r="D57" s="130">
        <f t="shared" ref="D57:I57" si="11">SUM(D58,D61:D65)</f>
        <v>5356407.4000000004</v>
      </c>
      <c r="E57" s="130">
        <f t="shared" si="11"/>
        <v>9292153</v>
      </c>
      <c r="F57" s="130">
        <f t="shared" si="11"/>
        <v>12868372.1</v>
      </c>
      <c r="G57" s="53">
        <f t="shared" si="11"/>
        <v>12584783.993117323</v>
      </c>
      <c r="H57" s="53">
        <f t="shared" si="11"/>
        <v>12212689.802045915</v>
      </c>
      <c r="I57" s="53">
        <f t="shared" si="11"/>
        <v>11844742.124204563</v>
      </c>
      <c r="J57" s="4"/>
      <c r="K57" s="4"/>
      <c r="L57" s="4"/>
      <c r="M57" s="80"/>
    </row>
    <row r="58" spans="1:13">
      <c r="A58" s="80"/>
      <c r="C58" s="6" t="s">
        <v>351</v>
      </c>
      <c r="D58" s="130">
        <f t="shared" ref="D58:I58" si="12">D59*D60</f>
        <v>4799018.4000000004</v>
      </c>
      <c r="E58" s="130">
        <f t="shared" si="12"/>
        <v>9192279</v>
      </c>
      <c r="F58" s="130">
        <f t="shared" si="12"/>
        <v>12398408.1</v>
      </c>
      <c r="G58" s="53">
        <f t="shared" si="12"/>
        <v>12398408.1</v>
      </c>
      <c r="H58" s="53">
        <f t="shared" si="12"/>
        <v>12398408.1</v>
      </c>
      <c r="I58" s="53">
        <f t="shared" si="12"/>
        <v>12398408.1</v>
      </c>
      <c r="J58" s="4"/>
      <c r="K58" s="4"/>
      <c r="L58" s="4"/>
      <c r="M58" s="80"/>
    </row>
    <row r="59" spans="1:13">
      <c r="A59" s="80"/>
      <c r="C59" t="s">
        <v>343</v>
      </c>
      <c r="D59">
        <f t="shared" ref="D59:I59" si="13">D54</f>
        <v>44.88</v>
      </c>
      <c r="E59">
        <f t="shared" si="13"/>
        <v>88.26</v>
      </c>
      <c r="F59">
        <f t="shared" si="13"/>
        <v>123.11</v>
      </c>
      <c r="G59" s="4">
        <f t="shared" si="13"/>
        <v>123.11</v>
      </c>
      <c r="H59" s="4">
        <f t="shared" si="13"/>
        <v>123.11</v>
      </c>
      <c r="I59" s="4">
        <f t="shared" si="13"/>
        <v>123.11</v>
      </c>
      <c r="J59" s="4"/>
      <c r="K59" s="4"/>
      <c r="L59" s="4"/>
      <c r="M59" s="80"/>
    </row>
    <row r="60" spans="1:13">
      <c r="A60" s="80"/>
      <c r="C60" t="s">
        <v>352</v>
      </c>
      <c r="D60" s="129">
        <f>'Income Statement'!D36</f>
        <v>106930</v>
      </c>
      <c r="E60" s="129">
        <f>'Income Statement'!E36</f>
        <v>104150</v>
      </c>
      <c r="F60" s="129">
        <f>'Income Statement'!F36</f>
        <v>100710</v>
      </c>
      <c r="G60" s="33">
        <f>'Income Statement'!G36</f>
        <v>100710</v>
      </c>
      <c r="H60" s="33">
        <f>'Income Statement'!H36</f>
        <v>100710</v>
      </c>
      <c r="I60" s="33">
        <f>'Income Statement'!I36</f>
        <v>100710</v>
      </c>
      <c r="J60" s="4"/>
      <c r="K60" s="4"/>
      <c r="L60" s="4"/>
      <c r="M60" s="80"/>
    </row>
    <row r="61" spans="1:13">
      <c r="A61" s="80"/>
      <c r="C61" t="s">
        <v>353</v>
      </c>
      <c r="D61" s="129">
        <f>'Balance Sheet'!E30+'Balance Sheet'!E31+'Balance Sheet'!E38+'Balance Sheet'!E43+'Balance Sheet'!E44+'Balance Sheet'!E45</f>
        <v>755037</v>
      </c>
      <c r="E61" s="129">
        <f>'Balance Sheet'!F30+'Balance Sheet'!F31+'Balance Sheet'!F38+'Balance Sheet'!F43+'Balance Sheet'!F44+'Balance Sheet'!F45</f>
        <v>735143</v>
      </c>
      <c r="F61" s="129">
        <f>'Balance Sheet'!G30+'Balance Sheet'!G31+'Balance Sheet'!G38+'Balance Sheet'!G43+'Balance Sheet'!G44+'Balance Sheet'!G45</f>
        <v>1906998</v>
      </c>
      <c r="G61" s="33">
        <f>'Balance Sheet'!H30+'Balance Sheet'!H31+'Balance Sheet'!H38+'Balance Sheet'!H43+'Balance Sheet'!H44+'Balance Sheet'!H45</f>
        <v>1625514.6887974795</v>
      </c>
      <c r="H61" s="33">
        <f>'Balance Sheet'!I30+'Balance Sheet'!I31+'Balance Sheet'!I38+'Balance Sheet'!I43+'Balance Sheet'!I44+'Balance Sheet'!I45</f>
        <v>1545090.8855967594</v>
      </c>
      <c r="I61" s="33">
        <f>'Balance Sheet'!J30+'Balance Sheet'!J31+'Balance Sheet'!J38+'Balance Sheet'!J43+'Balance Sheet'!J44+'Balance Sheet'!J45</f>
        <v>1545090.8855967594</v>
      </c>
      <c r="J61" s="4"/>
      <c r="K61" s="4"/>
      <c r="L61" s="4"/>
      <c r="M61" s="80"/>
    </row>
    <row r="62" spans="1:13">
      <c r="A62" s="80"/>
      <c r="C62" t="s">
        <v>354</v>
      </c>
      <c r="D62">
        <f>0</f>
        <v>0</v>
      </c>
      <c r="E62">
        <f>0</f>
        <v>0</v>
      </c>
      <c r="F62">
        <f>0</f>
        <v>0</v>
      </c>
      <c r="G62" s="4">
        <f>0</f>
        <v>0</v>
      </c>
      <c r="H62" s="4">
        <f>0</f>
        <v>0</v>
      </c>
      <c r="I62" s="4">
        <f>0</f>
        <v>0</v>
      </c>
      <c r="J62" s="4"/>
      <c r="K62" s="4"/>
      <c r="L62" s="4"/>
      <c r="M62" s="80"/>
    </row>
    <row r="63" spans="1:13">
      <c r="A63" s="80"/>
      <c r="C63" t="s">
        <v>355</v>
      </c>
      <c r="D63">
        <f>0</f>
        <v>0</v>
      </c>
      <c r="E63">
        <f>0</f>
        <v>0</v>
      </c>
      <c r="F63">
        <f>0</f>
        <v>0</v>
      </c>
      <c r="G63" s="4">
        <f>0</f>
        <v>0</v>
      </c>
      <c r="H63" s="4">
        <f>0</f>
        <v>0</v>
      </c>
      <c r="I63" s="4">
        <f>0</f>
        <v>0</v>
      </c>
      <c r="J63" s="4"/>
      <c r="K63" s="4"/>
      <c r="L63" s="4"/>
      <c r="M63" s="80"/>
    </row>
    <row r="64" spans="1:13">
      <c r="A64" s="80"/>
      <c r="C64" t="s">
        <v>356</v>
      </c>
      <c r="D64" s="230">
        <f>-('Balance Sheet'!E10)</f>
        <v>0</v>
      </c>
      <c r="E64" s="230">
        <f>-('Balance Sheet'!F10)</f>
        <v>0</v>
      </c>
      <c r="F64" s="230">
        <f>-('Balance Sheet'!G10)</f>
        <v>-301210</v>
      </c>
      <c r="G64" s="231">
        <f>-('Balance Sheet'!H10)</f>
        <v>-104633.66140722438</v>
      </c>
      <c r="H64" s="231">
        <f>-('Balance Sheet'!I10)</f>
        <v>-145472.32694262709</v>
      </c>
      <c r="I64" s="231">
        <f>-('Balance Sheet'!J10)</f>
        <v>-202355.99432950231</v>
      </c>
      <c r="J64" s="4"/>
      <c r="K64" s="4"/>
      <c r="L64" s="4"/>
      <c r="M64" s="80"/>
    </row>
    <row r="65" spans="1:13">
      <c r="A65" s="80"/>
      <c r="C65" t="s">
        <v>357</v>
      </c>
      <c r="D65" s="129">
        <f>-'Balance Sheet'!E9</f>
        <v>-197648</v>
      </c>
      <c r="E65" s="129">
        <f>-'Balance Sheet'!F9</f>
        <v>-635269</v>
      </c>
      <c r="F65" s="129">
        <f>-'Balance Sheet'!G9</f>
        <v>-1135824</v>
      </c>
      <c r="G65" s="33">
        <f>-'Balance Sheet'!H9</f>
        <v>-1334505.1342729316</v>
      </c>
      <c r="H65" s="33">
        <f>-'Balance Sheet'!I9</f>
        <v>-1585336.8566082167</v>
      </c>
      <c r="I65" s="33">
        <f>-'Balance Sheet'!J9</f>
        <v>-1896400.8670626932</v>
      </c>
      <c r="J65" s="4"/>
      <c r="K65" s="4"/>
      <c r="L65" s="4"/>
      <c r="M65" s="80"/>
    </row>
    <row r="66" spans="1:13">
      <c r="A66" s="80"/>
      <c r="G66" s="4"/>
      <c r="H66" s="4"/>
      <c r="I66" s="4"/>
      <c r="J66" s="4"/>
      <c r="K66" s="4"/>
      <c r="L66" s="4"/>
      <c r="M66" s="80"/>
    </row>
    <row r="67" spans="1:13">
      <c r="A67" s="80"/>
      <c r="C67" t="s">
        <v>358</v>
      </c>
      <c r="D67" s="179">
        <f>D57/'Income Statement'!D11</f>
        <v>8.3557171315051786</v>
      </c>
      <c r="E67" s="179">
        <f>E57/'Income Statement'!E11</f>
        <v>11.135648468274351</v>
      </c>
      <c r="F67" s="179">
        <f>F57/'Income Statement'!F11</f>
        <v>13.982041723257456</v>
      </c>
      <c r="G67" s="180">
        <f>G57/'Income Statement'!G11</f>
        <v>14.49745627110085</v>
      </c>
      <c r="H67" s="180">
        <f>H57/'Income Statement'!H11</f>
        <v>13.492335805550496</v>
      </c>
      <c r="I67" s="180">
        <f>I57/'Income Statement'!I11</f>
        <v>12.543088132648347</v>
      </c>
      <c r="J67" s="4"/>
      <c r="K67" s="232" t="s">
        <v>474</v>
      </c>
      <c r="L67" s="4" t="s">
        <v>498</v>
      </c>
      <c r="M67" s="80"/>
    </row>
    <row r="68" spans="1:13">
      <c r="A68" s="80"/>
      <c r="C68" t="s">
        <v>359</v>
      </c>
      <c r="D68" s="179">
        <f t="shared" ref="D68:I68" si="14">D57/D71</f>
        <v>6.7887785817398791</v>
      </c>
      <c r="E68" s="179">
        <f t="shared" si="14"/>
        <v>9.4057461968189831</v>
      </c>
      <c r="F68" s="179">
        <f t="shared" si="14"/>
        <v>11.798344813801867</v>
      </c>
      <c r="G68" s="180">
        <f t="shared" si="14"/>
        <v>12.858486171622497</v>
      </c>
      <c r="H68" s="180">
        <f t="shared" si="14"/>
        <v>11.847595009952078</v>
      </c>
      <c r="I68" s="180">
        <f t="shared" si="14"/>
        <v>10.91647088573459</v>
      </c>
      <c r="J68" s="4"/>
      <c r="K68" s="232" t="s">
        <v>475</v>
      </c>
      <c r="L68" s="4" t="s">
        <v>462</v>
      </c>
      <c r="M68" s="80"/>
    </row>
    <row r="69" spans="1:13">
      <c r="A69" s="80"/>
      <c r="C69" t="s">
        <v>360</v>
      </c>
      <c r="D69" s="129">
        <f>'Income Statement'!D11</f>
        <v>641047</v>
      </c>
      <c r="E69" s="129">
        <f>'Income Statement'!E11</f>
        <v>834451</v>
      </c>
      <c r="F69" s="129">
        <f>'Income Statement'!F11</f>
        <v>920350</v>
      </c>
      <c r="G69" s="33">
        <f>'Income Statement'!G11</f>
        <v>868068.42233445891</v>
      </c>
      <c r="H69" s="33">
        <f>'Income Statement'!H11</f>
        <v>905157.56337919203</v>
      </c>
      <c r="I69" s="33">
        <f>'Income Statement'!I11</f>
        <v>944324.23649913911</v>
      </c>
      <c r="J69" s="4"/>
      <c r="K69" s="4"/>
      <c r="L69" s="4"/>
      <c r="M69" s="80"/>
    </row>
    <row r="70" spans="1:13">
      <c r="A70" s="80"/>
      <c r="C70" t="s">
        <v>361</v>
      </c>
      <c r="D70" s="129">
        <f>'Cash Flow Statement'!D10</f>
        <v>147962</v>
      </c>
      <c r="E70" s="129">
        <f>'Cash Flow Statement'!E10</f>
        <v>153472</v>
      </c>
      <c r="F70" s="129">
        <f>'Cash Flow Statement'!F10</f>
        <v>170343</v>
      </c>
      <c r="G70" s="33">
        <f>'Cash Flow Statement'!G10</f>
        <v>110645.85438116189</v>
      </c>
      <c r="H70" s="33">
        <f>'Cash Flow Statement'!H10</f>
        <v>125658.37789725728</v>
      </c>
      <c r="I70" s="33">
        <f>'Cash Flow Statement'!I10</f>
        <v>140709.76837170406</v>
      </c>
      <c r="J70" s="4"/>
      <c r="K70" s="4"/>
      <c r="L70" s="4"/>
      <c r="M70" s="80"/>
    </row>
    <row r="71" spans="1:13">
      <c r="A71" s="80"/>
      <c r="C71" t="s">
        <v>362</v>
      </c>
      <c r="D71" s="129">
        <f t="shared" ref="D71:I71" si="15">SUM(D69:D70)</f>
        <v>789009</v>
      </c>
      <c r="E71" s="129">
        <f t="shared" si="15"/>
        <v>987923</v>
      </c>
      <c r="F71" s="129">
        <f t="shared" si="15"/>
        <v>1090693</v>
      </c>
      <c r="G71" s="33">
        <f t="shared" si="15"/>
        <v>978714.27671562077</v>
      </c>
      <c r="H71" s="33">
        <f t="shared" si="15"/>
        <v>1030815.9412764492</v>
      </c>
      <c r="I71" s="33">
        <f t="shared" si="15"/>
        <v>1085034.0048708431</v>
      </c>
      <c r="J71" s="4"/>
      <c r="K71" s="4"/>
      <c r="L71" s="4"/>
      <c r="M71" s="80"/>
    </row>
    <row r="72" spans="1:13">
      <c r="A72" s="80"/>
      <c r="C72" t="s">
        <v>363</v>
      </c>
      <c r="D72" s="179">
        <f>D57/'Income Statement'!D19</f>
        <v>12.452185940979827</v>
      </c>
      <c r="E72" s="179">
        <f>E57/'Income Statement'!E19</f>
        <v>22.753971227425772</v>
      </c>
      <c r="F72" s="179">
        <f>F57/'Income Statement'!F19</f>
        <v>20.325168173741361</v>
      </c>
      <c r="G72" s="180">
        <f>G57/'Income Statement'!G19</f>
        <v>22.342561102189219</v>
      </c>
      <c r="H72" s="180">
        <f>H57/'Income Statement'!H19</f>
        <v>21.150273229648999</v>
      </c>
      <c r="I72" s="180">
        <f>I57/'Income Statement'!I19</f>
        <v>19.107784674556296</v>
      </c>
      <c r="J72" s="4"/>
      <c r="K72" s="4"/>
      <c r="L72" s="4"/>
      <c r="M72" s="80"/>
    </row>
    <row r="73" spans="1:13">
      <c r="A73" s="80"/>
      <c r="C73" t="s">
        <v>364</v>
      </c>
      <c r="D73" s="179">
        <f>D57/'Income Statement'!D7</f>
        <v>0.86380334519333068</v>
      </c>
      <c r="E73" s="179">
        <f>E57/'Income Statement'!E7</f>
        <v>1.3965060570874821</v>
      </c>
      <c r="F73" s="179">
        <f>F57/'Income Statement'!F7</f>
        <v>1.865058228483607</v>
      </c>
      <c r="G73" s="180">
        <f>G57/'Income Statement'!G7</f>
        <v>1.7502144265176276</v>
      </c>
      <c r="H73" s="180">
        <f>H57/'Income Statement'!H7</f>
        <v>1.6288706330756644</v>
      </c>
      <c r="I73" s="180">
        <f>I57/'Income Statement'!I7</f>
        <v>1.5142721172820062</v>
      </c>
      <c r="J73" s="4"/>
      <c r="K73" s="4"/>
      <c r="L73" s="4"/>
      <c r="M73" s="80"/>
    </row>
    <row r="74" spans="1:13">
      <c r="A74" s="80"/>
      <c r="G74" s="4"/>
      <c r="H74" s="4"/>
      <c r="I74" s="4"/>
      <c r="J74" s="4"/>
      <c r="K74" s="4"/>
      <c r="L74" s="4"/>
      <c r="M74" s="80"/>
    </row>
    <row r="75" spans="1:13">
      <c r="A75" s="80"/>
      <c r="G75" s="4"/>
      <c r="H75" s="4"/>
      <c r="I75" s="4"/>
      <c r="J75" s="4"/>
      <c r="K75" s="4"/>
      <c r="L75" s="4"/>
      <c r="M75" s="80"/>
    </row>
    <row r="76" spans="1:13">
      <c r="A76" s="80"/>
      <c r="G76" s="4"/>
      <c r="H76" s="4"/>
      <c r="I76" s="4"/>
      <c r="J76" s="4"/>
      <c r="K76" s="4"/>
      <c r="L76" s="4"/>
      <c r="M76" s="80"/>
    </row>
    <row r="77" spans="1:13">
      <c r="A77" s="80"/>
      <c r="G77" s="4"/>
      <c r="H77" s="4"/>
      <c r="I77" s="4"/>
      <c r="J77" s="4"/>
      <c r="K77" s="4"/>
      <c r="L77" s="4"/>
      <c r="M77" s="80"/>
    </row>
    <row r="78" spans="1:13">
      <c r="A78" s="80"/>
      <c r="G78" s="4"/>
      <c r="H78" s="4"/>
      <c r="I78" s="4"/>
      <c r="J78" s="4"/>
      <c r="K78" s="4"/>
      <c r="L78" s="4"/>
      <c r="M78" s="80"/>
    </row>
    <row r="79" spans="1:13">
      <c r="A79" s="80"/>
      <c r="G79" s="4"/>
      <c r="H79" s="4"/>
      <c r="I79" s="4"/>
      <c r="J79" s="4"/>
      <c r="K79" s="4"/>
      <c r="L79" s="4"/>
      <c r="M79" s="80"/>
    </row>
    <row r="80" spans="1:13">
      <c r="A80" s="80"/>
      <c r="G80" s="4"/>
      <c r="H80" s="4"/>
      <c r="I80" s="4"/>
      <c r="J80" s="4"/>
      <c r="K80" s="4"/>
      <c r="L80" s="4"/>
      <c r="M80" s="80"/>
    </row>
    <row r="81" spans="1:13">
      <c r="A81" s="80"/>
      <c r="G81" s="4"/>
      <c r="H81" s="4"/>
      <c r="I81" s="4"/>
      <c r="J81" s="4"/>
      <c r="K81" s="4"/>
      <c r="L81" s="4"/>
      <c r="M81" s="80"/>
    </row>
    <row r="82" spans="1:13">
      <c r="A82" s="80"/>
      <c r="G82" s="4"/>
      <c r="H82" s="4"/>
      <c r="I82" s="4"/>
      <c r="J82" s="4"/>
      <c r="K82" s="4"/>
      <c r="L82" s="4"/>
      <c r="M82" s="80"/>
    </row>
    <row r="83" spans="1:13">
      <c r="A83" s="80"/>
      <c r="G83" s="4"/>
      <c r="H83" s="4"/>
      <c r="I83" s="4"/>
      <c r="J83" s="4"/>
      <c r="K83" s="4"/>
      <c r="L83" s="4"/>
      <c r="M83" s="80"/>
    </row>
    <row r="84" spans="1:13">
      <c r="A84" s="80"/>
      <c r="G84" s="4"/>
      <c r="H84" s="4"/>
      <c r="I84" s="4"/>
      <c r="J84" s="4"/>
      <c r="K84" s="4"/>
      <c r="L84" s="4"/>
      <c r="M84" s="80"/>
    </row>
    <row r="85" spans="1:13">
      <c r="A85" s="80"/>
      <c r="G85" s="4"/>
      <c r="H85" s="4"/>
      <c r="I85" s="4"/>
      <c r="J85" s="4"/>
      <c r="K85" s="4"/>
      <c r="L85" s="4"/>
      <c r="M85" s="80"/>
    </row>
    <row r="86" spans="1:13">
      <c r="A86" s="80"/>
      <c r="G86" s="4"/>
      <c r="H86" s="4"/>
      <c r="I86" s="4"/>
      <c r="J86" s="4"/>
      <c r="K86" s="4"/>
      <c r="L86" s="4"/>
      <c r="M86" s="80"/>
    </row>
    <row r="87" spans="1:13">
      <c r="A87" s="80"/>
      <c r="G87" s="4"/>
      <c r="H87" s="4"/>
      <c r="I87" s="4"/>
      <c r="J87" s="4"/>
      <c r="K87" s="4"/>
      <c r="L87" s="4"/>
      <c r="M87" s="80"/>
    </row>
    <row r="88" spans="1:13">
      <c r="A88" s="80"/>
      <c r="G88" s="4"/>
      <c r="H88" s="4"/>
      <c r="I88" s="4"/>
      <c r="J88" s="4"/>
      <c r="K88" s="4"/>
      <c r="L88" s="4"/>
      <c r="M88" s="80"/>
    </row>
    <row r="89" spans="1:13">
      <c r="A89" s="80"/>
      <c r="G89" s="4"/>
      <c r="H89" s="4"/>
      <c r="I89" s="4"/>
      <c r="J89" s="4"/>
      <c r="K89" s="4"/>
      <c r="L89" s="4"/>
      <c r="M89" s="80"/>
    </row>
    <row r="90" spans="1:13">
      <c r="A90" s="80"/>
      <c r="G90" s="4"/>
      <c r="H90" s="4"/>
      <c r="I90" s="4"/>
      <c r="J90" s="4"/>
      <c r="K90" s="4"/>
      <c r="L90" s="4"/>
      <c r="M90" s="80"/>
    </row>
    <row r="91" spans="1:13">
      <c r="A91" s="80"/>
      <c r="G91" s="4"/>
      <c r="H91" s="4"/>
      <c r="I91" s="4"/>
      <c r="J91" s="4"/>
      <c r="K91" s="4"/>
      <c r="L91" s="4"/>
      <c r="M91" s="80"/>
    </row>
    <row r="92" spans="1:13">
      <c r="A92" s="80"/>
      <c r="G92" s="4"/>
      <c r="H92" s="4"/>
      <c r="I92" s="4"/>
      <c r="J92" s="4"/>
      <c r="K92" s="4"/>
      <c r="L92" s="4"/>
      <c r="M92" s="80"/>
    </row>
    <row r="93" spans="1:13">
      <c r="A93" s="80"/>
      <c r="G93" s="4"/>
      <c r="H93" s="4"/>
      <c r="I93" s="4"/>
      <c r="J93" s="4"/>
      <c r="K93" s="4"/>
      <c r="L93" s="4"/>
      <c r="M93" s="80"/>
    </row>
    <row r="94" spans="1:13">
      <c r="A94" s="80"/>
      <c r="G94" s="4"/>
      <c r="H94" s="4"/>
      <c r="I94" s="4"/>
      <c r="J94" s="4"/>
      <c r="K94" s="4"/>
      <c r="L94" s="4"/>
      <c r="M94" s="80"/>
    </row>
    <row r="95" spans="1:13">
      <c r="A95" s="80"/>
      <c r="G95" s="4"/>
      <c r="H95" s="4"/>
      <c r="I95" s="4"/>
      <c r="J95" s="4"/>
      <c r="K95" s="4"/>
      <c r="L95" s="4"/>
      <c r="M95" s="80"/>
    </row>
    <row r="96" spans="1:13">
      <c r="A96" s="80"/>
      <c r="G96" s="4"/>
      <c r="H96" s="4"/>
      <c r="I96" s="4"/>
      <c r="J96" s="4"/>
      <c r="K96" s="4"/>
      <c r="L96" s="4"/>
      <c r="M96" s="80"/>
    </row>
    <row r="97" spans="1:13">
      <c r="A97" s="80"/>
      <c r="G97" s="4"/>
      <c r="H97" s="4"/>
      <c r="I97" s="4"/>
      <c r="J97" s="4"/>
      <c r="K97" s="4"/>
      <c r="L97" s="4"/>
      <c r="M97" s="80"/>
    </row>
    <row r="98" spans="1:13">
      <c r="A98" s="80"/>
      <c r="G98" s="4"/>
      <c r="H98" s="4"/>
      <c r="I98" s="4"/>
      <c r="J98" s="4"/>
      <c r="K98" s="4"/>
      <c r="L98" s="4"/>
      <c r="M98" s="80"/>
    </row>
    <row r="99" spans="1:13">
      <c r="A99" s="80"/>
      <c r="G99" s="4"/>
      <c r="H99" s="4"/>
      <c r="I99" s="4"/>
      <c r="J99" s="4"/>
      <c r="K99" s="4"/>
      <c r="L99" s="4"/>
      <c r="M99" s="80"/>
    </row>
    <row r="100" spans="1:13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</row>
  </sheetData>
  <mergeCells count="6">
    <mergeCell ref="B4:C4"/>
    <mergeCell ref="J3:L3"/>
    <mergeCell ref="B2:C2"/>
    <mergeCell ref="B3:C3"/>
    <mergeCell ref="D3:F3"/>
    <mergeCell ref="G3:I3"/>
  </mergeCells>
  <conditionalFormatting sqref="L12:L14">
    <cfRule type="containsText" dxfId="35" priority="45" operator="containsText" text="Par">
      <formula>NOT(ISERROR(SEARCH("Par",L12)))</formula>
    </cfRule>
    <cfRule type="containsText" dxfId="34" priority="44" operator="containsText" text="Better">
      <formula>NOT(ISERROR(SEARCH("Better",L12)))</formula>
    </cfRule>
    <cfRule type="containsText" dxfId="33" priority="43" operator="containsText" text="Worst">
      <formula>NOT(ISERROR(SEARCH("Worst",L12)))</formula>
    </cfRule>
  </conditionalFormatting>
  <conditionalFormatting sqref="L17">
    <cfRule type="containsText" dxfId="32" priority="33" operator="containsText" text="Par">
      <formula>NOT(ISERROR(SEARCH("Par",L17)))</formula>
    </cfRule>
    <cfRule type="containsText" dxfId="31" priority="32" operator="containsText" text="Better">
      <formula>NOT(ISERROR(SEARCH("Better",L17)))</formula>
    </cfRule>
    <cfRule type="containsText" dxfId="30" priority="31" operator="containsText" text="Worst">
      <formula>NOT(ISERROR(SEARCH("Worst",L17)))</formula>
    </cfRule>
  </conditionalFormatting>
  <conditionalFormatting sqref="L20">
    <cfRule type="containsText" dxfId="29" priority="30" operator="containsText" text="Par">
      <formula>NOT(ISERROR(SEARCH("Par",L20)))</formula>
    </cfRule>
    <cfRule type="containsText" dxfId="28" priority="29" operator="containsText" text="Better">
      <formula>NOT(ISERROR(SEARCH("Better",L20)))</formula>
    </cfRule>
    <cfRule type="containsText" dxfId="27" priority="28" operator="containsText" text="Worst">
      <formula>NOT(ISERROR(SEARCH("Worst",L20)))</formula>
    </cfRule>
  </conditionalFormatting>
  <conditionalFormatting sqref="L23:L25">
    <cfRule type="containsText" dxfId="26" priority="27" operator="containsText" text="Par">
      <formula>NOT(ISERROR(SEARCH("Par",L23)))</formula>
    </cfRule>
    <cfRule type="containsText" dxfId="25" priority="26" operator="containsText" text="Better">
      <formula>NOT(ISERROR(SEARCH("Better",L23)))</formula>
    </cfRule>
    <cfRule type="containsText" dxfId="24" priority="25" operator="containsText" text="Worst">
      <formula>NOT(ISERROR(SEARCH("Worst",L23)))</formula>
    </cfRule>
  </conditionalFormatting>
  <conditionalFormatting sqref="L31">
    <cfRule type="containsText" dxfId="23" priority="24" operator="containsText" text="Par">
      <formula>NOT(ISERROR(SEARCH("Par",L31)))</formula>
    </cfRule>
    <cfRule type="containsText" dxfId="22" priority="23" operator="containsText" text="Better">
      <formula>NOT(ISERROR(SEARCH("Better",L31)))</formula>
    </cfRule>
    <cfRule type="containsText" dxfId="21" priority="22" operator="containsText" text="Worst">
      <formula>NOT(ISERROR(SEARCH("Worst",L31)))</formula>
    </cfRule>
  </conditionalFormatting>
  <conditionalFormatting sqref="L33">
    <cfRule type="containsText" dxfId="20" priority="19" operator="containsText" text="Worst">
      <formula>NOT(ISERROR(SEARCH("Worst",L33)))</formula>
    </cfRule>
    <cfRule type="containsText" dxfId="19" priority="20" operator="containsText" text="Better">
      <formula>NOT(ISERROR(SEARCH("Better",L33)))</formula>
    </cfRule>
    <cfRule type="containsText" dxfId="18" priority="21" operator="containsText" text="Par">
      <formula>NOT(ISERROR(SEARCH("Par",L33)))</formula>
    </cfRule>
  </conditionalFormatting>
  <conditionalFormatting sqref="L39">
    <cfRule type="containsText" dxfId="17" priority="18" operator="containsText" text="Par">
      <formula>NOT(ISERROR(SEARCH("Par",L39)))</formula>
    </cfRule>
    <cfRule type="containsText" dxfId="16" priority="17" operator="containsText" text="Better">
      <formula>NOT(ISERROR(SEARCH("Better",L39)))</formula>
    </cfRule>
    <cfRule type="containsText" dxfId="15" priority="16" operator="containsText" text="Worst">
      <formula>NOT(ISERROR(SEARCH("Worst",L39)))</formula>
    </cfRule>
  </conditionalFormatting>
  <conditionalFormatting sqref="L41">
    <cfRule type="containsText" dxfId="14" priority="15" operator="containsText" text="Par">
      <formula>NOT(ISERROR(SEARCH("Par",L41)))</formula>
    </cfRule>
    <cfRule type="containsText" dxfId="13" priority="14" operator="containsText" text="Better">
      <formula>NOT(ISERROR(SEARCH("Better",L41)))</formula>
    </cfRule>
    <cfRule type="containsText" dxfId="12" priority="13" operator="containsText" text="Worst">
      <formula>NOT(ISERROR(SEARCH("Worst",L41)))</formula>
    </cfRule>
  </conditionalFormatting>
  <conditionalFormatting sqref="L45">
    <cfRule type="containsText" dxfId="11" priority="12" operator="containsText" text="Par">
      <formula>NOT(ISERROR(SEARCH("Par",L45)))</formula>
    </cfRule>
    <cfRule type="containsText" dxfId="10" priority="11" operator="containsText" text="Better">
      <formula>NOT(ISERROR(SEARCH("Better",L45)))</formula>
    </cfRule>
    <cfRule type="containsText" dxfId="9" priority="10" operator="containsText" text="Worst">
      <formula>NOT(ISERROR(SEARCH("Worst",L45)))</formula>
    </cfRule>
  </conditionalFormatting>
  <conditionalFormatting sqref="L49">
    <cfRule type="containsText" dxfId="8" priority="9" operator="containsText" text="Par">
      <formula>NOT(ISERROR(SEARCH("Par",L49)))</formula>
    </cfRule>
    <cfRule type="containsText" dxfId="7" priority="8" operator="containsText" text="Better">
      <formula>NOT(ISERROR(SEARCH("Better",L49)))</formula>
    </cfRule>
    <cfRule type="containsText" dxfId="6" priority="7" operator="containsText" text="Worst">
      <formula>NOT(ISERROR(SEARCH("Worst",L49)))</formula>
    </cfRule>
  </conditionalFormatting>
  <conditionalFormatting sqref="L53">
    <cfRule type="containsText" dxfId="5" priority="4" operator="containsText" text="Worst">
      <formula>NOT(ISERROR(SEARCH("Worst",L53)))</formula>
    </cfRule>
    <cfRule type="containsText" dxfId="4" priority="6" operator="containsText" text="Par">
      <formula>NOT(ISERROR(SEARCH("Par",L53)))</formula>
    </cfRule>
    <cfRule type="containsText" dxfId="3" priority="5" operator="containsText" text="Better">
      <formula>NOT(ISERROR(SEARCH("Better",L53)))</formula>
    </cfRule>
  </conditionalFormatting>
  <conditionalFormatting sqref="L67:L68">
    <cfRule type="containsText" dxfId="2" priority="2" operator="containsText" text="Better">
      <formula>NOT(ISERROR(SEARCH("Better",L67)))</formula>
    </cfRule>
    <cfRule type="containsText" dxfId="1" priority="3" operator="containsText" text="Par">
      <formula>NOT(ISERROR(SEARCH("Par",L67)))</formula>
    </cfRule>
    <cfRule type="containsText" dxfId="0" priority="1" operator="containsText" text="Worst">
      <formula>NOT(ISERROR(SEARCH("Worst",L67)))</formula>
    </cfRule>
  </conditionalFormatting>
  <dataValidations count="1">
    <dataValidation type="list" allowBlank="1" showInputMessage="1" showErrorMessage="1" sqref="L12:L14 L17 L20 L23:L25 L31 L33 L39 L41 L45 L49 L53 L67:L68" xr:uid="{AA7E3050-0077-49E1-850B-FF435E36040D}">
      <formula1>"Par,Better,Worst"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markers="1" xr2:uid="{71B0FB93-60DE-4219-AA72-1606EB487FD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Ratios!D73:I73</xm:f>
              <xm:sqref>J73</xm:sqref>
            </x14:sparkline>
          </x14:sparklines>
        </x14:sparklineGroup>
        <x14:sparklineGroup displayEmptyCellsAs="span" markers="1" xr2:uid="{B23D70DA-9F20-4DE0-AD61-5FBB6613256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Ratios!D72:I72</xm:f>
              <xm:sqref>J72</xm:sqref>
            </x14:sparkline>
          </x14:sparklines>
        </x14:sparklineGroup>
        <x14:sparklineGroup displayEmptyCellsAs="span" markers="1" xr2:uid="{8F2921B6-62D0-4095-B215-DB8E26EF53C6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Ratios!D68:I68</xm:f>
              <xm:sqref>J68</xm:sqref>
            </x14:sparkline>
          </x14:sparklines>
        </x14:sparklineGroup>
        <x14:sparklineGroup displayEmptyCellsAs="span" markers="1" xr2:uid="{B93808B4-C1CA-430E-A5F7-13E23704F208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Ratios!D67:I67</xm:f>
              <xm:sqref>J67</xm:sqref>
            </x14:sparkline>
          </x14:sparklines>
        </x14:sparklineGroup>
        <x14:sparklineGroup displayEmptyCellsAs="span" markers="1" xr2:uid="{E2509FB3-1988-4ABF-AA8A-C7F9FAEBD187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Ratios!D58:I58</xm:f>
              <xm:sqref>J58</xm:sqref>
            </x14:sparkline>
          </x14:sparklines>
        </x14:sparklineGroup>
        <x14:sparklineGroup displayEmptyCellsAs="span" markers="1" xr2:uid="{312286DB-0BB3-493F-B34B-E7399ECA8C49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Ratios!D57:I57</xm:f>
              <xm:sqref>J57</xm:sqref>
            </x14:sparkline>
          </x14:sparklines>
        </x14:sparklineGroup>
        <x14:sparklineGroup displayEmptyCellsAs="span" markers="1" xr2:uid="{B38C91CA-DE1C-4A40-98B2-7D857CEC497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Ratios!D53:I53</xm:f>
              <xm:sqref>J53</xm:sqref>
            </x14:sparkline>
          </x14:sparklines>
        </x14:sparklineGroup>
        <x14:sparklineGroup displayEmptyCellsAs="span" markers="1" xr2:uid="{48DC9F35-225E-4248-8A84-3DE521C92524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Ratios!D49:I49</xm:f>
              <xm:sqref>J49</xm:sqref>
            </x14:sparkline>
          </x14:sparklines>
        </x14:sparklineGroup>
        <x14:sparklineGroup displayEmptyCellsAs="span" markers="1" xr2:uid="{72ACEED9-4A65-434E-BDA7-2C7E2FA3160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Ratios!D45:I45</xm:f>
              <xm:sqref>J45</xm:sqref>
            </x14:sparkline>
          </x14:sparklines>
        </x14:sparklineGroup>
        <x14:sparklineGroup displayEmptyCellsAs="span" markers="1" xr2:uid="{457C83C1-1C32-4184-B994-1F6CC96350DA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Ratios!D42:I42</xm:f>
              <xm:sqref>J42</xm:sqref>
            </x14:sparkline>
          </x14:sparklines>
        </x14:sparklineGroup>
        <x14:sparklineGroup displayEmptyCellsAs="span" markers="1" xr2:uid="{E95BAAF5-E549-48E0-9663-C5916700CA25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Ratios!D41:I41</xm:f>
              <xm:sqref>J41</xm:sqref>
            </x14:sparkline>
          </x14:sparklines>
        </x14:sparklineGroup>
        <x14:sparklineGroup displayEmptyCellsAs="span" markers="1" xr2:uid="{312CE680-1B52-4009-82C3-3A44CA13F37F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Ratios!D40:I40</xm:f>
              <xm:sqref>J40</xm:sqref>
            </x14:sparkline>
          </x14:sparklines>
        </x14:sparklineGroup>
        <x14:sparklineGroup displayEmptyCellsAs="span" markers="1" xr2:uid="{7C7B9A22-5DF6-49C0-A6A0-EBF9CEA14D66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Ratios!D39:I39</xm:f>
              <xm:sqref>J39</xm:sqref>
            </x14:sparkline>
          </x14:sparklines>
        </x14:sparklineGroup>
        <x14:sparklineGroup displayEmptyCellsAs="span" markers="1" xr2:uid="{9BA1CAC8-22B0-402A-9578-8D00BA440B47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Ratios!D36:I36</xm:f>
              <xm:sqref>J36</xm:sqref>
            </x14:sparkline>
          </x14:sparklines>
        </x14:sparklineGroup>
        <x14:sparklineGroup displayEmptyCellsAs="span" markers="1" xr2:uid="{054D2422-2581-47EC-91DE-7722C69DAF5C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Ratios!D33:I33</xm:f>
              <xm:sqref>J33</xm:sqref>
            </x14:sparkline>
          </x14:sparklines>
        </x14:sparklineGroup>
        <x14:sparklineGroup displayEmptyCellsAs="span" markers="1" xr2:uid="{AEDD9E63-3A28-4D1E-83A8-5753DF256F6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Ratios!D31:I31</xm:f>
              <xm:sqref>J31</xm:sqref>
            </x14:sparkline>
          </x14:sparklines>
        </x14:sparklineGroup>
        <x14:sparklineGroup displayEmptyCellsAs="span" markers="1" xr2:uid="{DFAA3C1A-34FA-495D-981B-62F30DD0B7BC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Ratios!D29:I29</xm:f>
              <xm:sqref>J29</xm:sqref>
            </x14:sparkline>
          </x14:sparklines>
        </x14:sparklineGroup>
        <x14:sparklineGroup displayEmptyCellsAs="span" markers="1" xr2:uid="{1A3D0F12-FC66-4A5F-A75A-E2FD72AD7E1A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Ratios!D34:I34</xm:f>
              <xm:sqref>J34</xm:sqref>
            </x14:sparkline>
          </x14:sparklines>
        </x14:sparklineGroup>
        <x14:sparklineGroup displayEmptyCellsAs="span" markers="1" xr2:uid="{34291013-6F47-4792-BA42-C04C22B4DD2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Ratios!D32:I32</xm:f>
              <xm:sqref>J32</xm:sqref>
            </x14:sparkline>
          </x14:sparklines>
        </x14:sparklineGroup>
        <x14:sparklineGroup displayEmptyCellsAs="span" markers="1" xr2:uid="{10993CD8-7C7D-433B-B6BD-EC7B2377BC69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Ratios!D30:I30</xm:f>
              <xm:sqref>J30</xm:sqref>
            </x14:sparkline>
          </x14:sparklines>
        </x14:sparklineGroup>
        <x14:sparklineGroup displayEmptyCellsAs="span" markers="1" xr2:uid="{ABA9C1B6-4118-4C5D-8D83-EAF00BA5CBF2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Ratios!D28:I28</xm:f>
              <xm:sqref>J28</xm:sqref>
            </x14:sparkline>
          </x14:sparklines>
        </x14:sparklineGroup>
        <x14:sparklineGroup displayEmptyCellsAs="span" markers="1" xr2:uid="{3B21909C-89ED-41C1-8ED7-1FC08FFA9F0C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Ratios!D25:I25</xm:f>
              <xm:sqref>J25</xm:sqref>
            </x14:sparkline>
          </x14:sparklines>
        </x14:sparklineGroup>
        <x14:sparklineGroup displayEmptyCellsAs="span" markers="1" xr2:uid="{77B27477-7FD7-47BB-9C98-49BAF471DD37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Ratios!D24:I24</xm:f>
              <xm:sqref>J24</xm:sqref>
            </x14:sparkline>
          </x14:sparklines>
        </x14:sparklineGroup>
        <x14:sparklineGroup displayEmptyCellsAs="span" markers="1" xr2:uid="{63A7CA1E-7B7E-41C2-9845-AEF027FB942C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Ratios!D23:I23</xm:f>
              <xm:sqref>J23</xm:sqref>
            </x14:sparkline>
          </x14:sparklines>
        </x14:sparklineGroup>
        <x14:sparklineGroup displayEmptyCellsAs="span" markers="1" xr2:uid="{C6E4872C-A1AF-4E62-A3F1-7E9E723625BE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Ratios!D20:I20</xm:f>
              <xm:sqref>J20</xm:sqref>
            </x14:sparkline>
          </x14:sparklines>
        </x14:sparklineGroup>
        <x14:sparklineGroup displayEmptyCellsAs="span" markers="1" xr2:uid="{F0D3D3C4-7B37-4984-9AE3-EA7FB43B74A9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Ratios!D19:I19</xm:f>
              <xm:sqref>J19</xm:sqref>
            </x14:sparkline>
          </x14:sparklines>
        </x14:sparklineGroup>
        <x14:sparklineGroup displayEmptyCellsAs="span" markers="1" xr2:uid="{4135442F-E2F2-4AE1-9339-CBEF2D3DF248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Ratios!D18:I18</xm:f>
              <xm:sqref>J18</xm:sqref>
            </x14:sparkline>
          </x14:sparklines>
        </x14:sparklineGroup>
        <x14:sparklineGroup displayEmptyCellsAs="span" markers="1" xr2:uid="{984DC22D-29FA-42BF-B11E-8E457C9FF995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Ratios!D17:I17</xm:f>
              <xm:sqref>J17</xm:sqref>
            </x14:sparkline>
          </x14:sparklines>
        </x14:sparklineGroup>
        <x14:sparklineGroup displayEmptyCellsAs="span" markers="1" xr2:uid="{1B8119F9-B154-44CD-8962-7F406C29831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Ratios!D14:I14</xm:f>
              <xm:sqref>J14</xm:sqref>
            </x14:sparkline>
          </x14:sparklines>
        </x14:sparklineGroup>
        <x14:sparklineGroup displayEmptyCellsAs="span" markers="1" xr2:uid="{B35A1CEB-7467-45D8-93BF-C70237DA4BCB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Ratios!D13:I13</xm:f>
              <xm:sqref>J13</xm:sqref>
            </x14:sparkline>
          </x14:sparklines>
        </x14:sparklineGroup>
        <x14:sparklineGroup displayEmptyCellsAs="span" markers="1" xr2:uid="{A4A2F6ED-CA9C-4045-8665-36991B6BBE2C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Ratios!D12:I12</xm:f>
              <xm:sqref>J12</xm:sqref>
            </x14:sparkline>
          </x14:sparklines>
        </x14:sparklineGroup>
        <x14:sparklineGroup displayEmptyCellsAs="span" markers="1" xr2:uid="{4FB2C32F-BBFD-4AB9-94C9-B5192CB4313A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Ratios!E9:I9</xm:f>
              <xm:sqref>J9</xm:sqref>
            </x14:sparkline>
          </x14:sparklines>
        </x14:sparklineGroup>
        <x14:sparklineGroup displayEmptyCellsAs="span" markers="1" xr2:uid="{4410531E-3237-481E-B8FA-62D6FDF38E48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Ratios!E8:I8</xm:f>
              <xm:sqref>J8</xm:sqref>
            </x14:sparkline>
          </x14:sparklines>
        </x14:sparklineGroup>
        <x14:sparklineGroup displayEmptyCellsAs="span" markers="1" xr2:uid="{0EC0030C-07C0-4CD3-A795-22F2D78F89B5}">
          <x14:colorSeries rgb="FF376092"/>
          <x14:colorNegative rgb="FFD00000"/>
          <x14:colorAxis rgb="FF000000"/>
          <x14:colorMarkers rgb="FFFF0000"/>
          <x14:colorFirst rgb="FFD00000"/>
          <x14:colorLast rgb="FFD00000"/>
          <x14:colorHigh rgb="FFD00000"/>
          <x14:colorLow rgb="FFD00000"/>
          <x14:sparklines>
            <x14:sparkline>
              <xm:f>Ratios!E7:I7</xm:f>
              <xm:sqref>J7</xm:sqref>
            </x14:sparkline>
          </x14:sparklines>
        </x14:sparklineGroup>
      </x14:sparklineGroup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7C231-BF0C-41EA-8D2E-7DF6DA43B462}">
  <dimension ref="F4:J9"/>
  <sheetViews>
    <sheetView workbookViewId="0">
      <selection activeCell="F8" sqref="F8:J9"/>
    </sheetView>
  </sheetViews>
  <sheetFormatPr defaultRowHeight="14.4"/>
  <cols>
    <col min="6" max="6" width="20.21875" bestFit="1" customWidth="1"/>
    <col min="7" max="10" width="11.6640625" bestFit="1" customWidth="1"/>
  </cols>
  <sheetData>
    <row r="4" spans="6:10">
      <c r="G4" s="265">
        <f>EDATE(H4,-12)</f>
        <v>45291</v>
      </c>
      <c r="H4" s="265">
        <f>LHY</f>
        <v>45657</v>
      </c>
      <c r="I4" s="265">
        <f>EDATE(H4,12)</f>
        <v>46022</v>
      </c>
      <c r="J4" s="265">
        <f t="shared" ref="J4" si="0">EDATE(I4,12)</f>
        <v>46387</v>
      </c>
    </row>
    <row r="5" spans="6:10">
      <c r="F5" t="s">
        <v>311</v>
      </c>
      <c r="G5" s="122">
        <v>7.3037274730336055E-2</v>
      </c>
      <c r="H5" s="122">
        <v>3.6949691442167865E-2</v>
      </c>
      <c r="I5" s="266">
        <v>4.2133342922456629E-2</v>
      </c>
      <c r="J5" s="266">
        <v>4.2726057175298759E-2</v>
      </c>
    </row>
    <row r="8" spans="6:10">
      <c r="G8" s="265">
        <f>EDATE(H8,-12)</f>
        <v>45291</v>
      </c>
      <c r="H8" s="265">
        <f>LHY</f>
        <v>45657</v>
      </c>
      <c r="I8" s="265">
        <f>EDATE(H8,12)</f>
        <v>46022</v>
      </c>
      <c r="J8" s="265">
        <f t="shared" ref="J8" si="1">EDATE(I8,12)</f>
        <v>46387</v>
      </c>
    </row>
    <row r="9" spans="6:10">
      <c r="F9" t="s">
        <v>344</v>
      </c>
      <c r="G9" s="121">
        <v>3.9210273643783005</v>
      </c>
      <c r="H9" s="121">
        <v>6.2866150332638266</v>
      </c>
      <c r="I9" s="121">
        <v>5.5929407090330558</v>
      </c>
      <c r="J9" s="121">
        <v>5.7335386991145958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33FF-6BA9-4518-A12C-BCB64DAB0D30}">
  <dimension ref="A1:L100"/>
  <sheetViews>
    <sheetView showGridLines="0" topLeftCell="A37" workbookViewId="0">
      <selection activeCell="E52" sqref="E52"/>
    </sheetView>
  </sheetViews>
  <sheetFormatPr defaultColWidth="0" defaultRowHeight="14.4"/>
  <cols>
    <col min="1" max="2" width="3.77734375" customWidth="1"/>
    <col min="3" max="3" width="50.77734375" customWidth="1"/>
    <col min="4" max="10" width="11.6640625" bestFit="1" customWidth="1"/>
    <col min="11" max="11" width="3.77734375" customWidth="1"/>
    <col min="12" max="12" width="3.77734375" hidden="1" customWidth="1"/>
    <col min="13" max="16384" width="8.88671875" hidden="1"/>
  </cols>
  <sheetData>
    <row r="1" spans="1:11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</row>
    <row r="2" spans="1:11">
      <c r="A2" s="80"/>
      <c r="B2" s="267" t="str">
        <f>Company_name</f>
        <v>Coca-Cola Consolidated, Inc. (COKE)</v>
      </c>
      <c r="C2" s="267"/>
      <c r="D2" s="77"/>
      <c r="E2" s="78"/>
      <c r="F2" s="78"/>
      <c r="G2" s="78"/>
      <c r="H2" s="78"/>
      <c r="I2" s="78"/>
      <c r="J2" s="78"/>
      <c r="K2" s="80"/>
    </row>
    <row r="3" spans="1:11">
      <c r="A3" s="80"/>
      <c r="B3" s="267" t="s">
        <v>384</v>
      </c>
      <c r="C3" s="267"/>
      <c r="D3" s="88"/>
      <c r="E3" s="268" t="s">
        <v>8</v>
      </c>
      <c r="F3" s="268"/>
      <c r="G3" s="268"/>
      <c r="H3" s="268" t="s">
        <v>9</v>
      </c>
      <c r="I3" s="268"/>
      <c r="J3" s="268"/>
      <c r="K3" s="80"/>
    </row>
    <row r="4" spans="1:11">
      <c r="A4" s="80"/>
      <c r="B4" s="267" t="str">
        <f>currency</f>
        <v>in thousands, except per share data</v>
      </c>
      <c r="C4" s="267"/>
      <c r="D4" s="79">
        <f>EDATE(E4,-12)</f>
        <v>44561</v>
      </c>
      <c r="E4" s="79">
        <f>EDATE(F4,-12)</f>
        <v>44926</v>
      </c>
      <c r="F4" s="79">
        <f>EDATE(G4,-12)</f>
        <v>45291</v>
      </c>
      <c r="G4" s="79">
        <f>LHY</f>
        <v>45657</v>
      </c>
      <c r="H4" s="79">
        <f>EDATE(G4,12)</f>
        <v>46022</v>
      </c>
      <c r="I4" s="79">
        <f t="shared" ref="I4:J4" si="0">EDATE(H4,12)</f>
        <v>46387</v>
      </c>
      <c r="J4" s="79">
        <f t="shared" si="0"/>
        <v>46752</v>
      </c>
      <c r="K4" s="80"/>
    </row>
    <row r="5" spans="1:11">
      <c r="A5" s="80"/>
      <c r="H5" s="4"/>
      <c r="I5" s="4"/>
      <c r="J5" s="4"/>
      <c r="K5" s="80"/>
    </row>
    <row r="6" spans="1:11">
      <c r="A6" s="80"/>
      <c r="C6" s="172" t="s">
        <v>365</v>
      </c>
      <c r="D6" s="173"/>
      <c r="E6" s="174">
        <f>'Income Statement'!D19/AVERAGE('Balance Sheet'!D60:E60)</f>
        <v>0.47084514118524018</v>
      </c>
      <c r="F6" s="174">
        <f>'Income Statement'!E19/AVERAGE('Balance Sheet'!E60:F60)</f>
        <v>0.32017031845725535</v>
      </c>
      <c r="G6" s="174">
        <f>'Income Statement'!F19/AVERAGE('Balance Sheet'!F60:G60)</f>
        <v>0.4437985440253413</v>
      </c>
      <c r="H6" s="175">
        <f>'Income Statement'!G19/AVERAGE('Balance Sheet'!G60:H60)</f>
        <v>0.33147989035126313</v>
      </c>
      <c r="I6" s="175">
        <f>'Income Statement'!H19/AVERAGE('Balance Sheet'!H60:I60)</f>
        <v>0.2544182382971597</v>
      </c>
      <c r="J6" s="176">
        <f>'Income Statement'!I19/AVERAGE('Balance Sheet'!I60:J60)</f>
        <v>0.21612193375174493</v>
      </c>
      <c r="K6" s="80"/>
    </row>
    <row r="7" spans="1:11">
      <c r="A7" s="80"/>
      <c r="D7" s="5"/>
      <c r="H7" s="4"/>
      <c r="I7" s="4"/>
      <c r="J7" s="4"/>
      <c r="K7" s="80"/>
    </row>
    <row r="8" spans="1:11">
      <c r="A8" s="80"/>
      <c r="C8" s="6" t="s">
        <v>366</v>
      </c>
      <c r="H8" s="4"/>
      <c r="I8" s="4"/>
      <c r="J8" s="4"/>
      <c r="K8" s="80"/>
    </row>
    <row r="9" spans="1:11">
      <c r="A9" s="80"/>
      <c r="H9" s="4"/>
      <c r="I9" s="4"/>
      <c r="J9" s="4"/>
      <c r="K9" s="80"/>
    </row>
    <row r="10" spans="1:11">
      <c r="A10" s="80"/>
      <c r="C10" s="6" t="s">
        <v>367</v>
      </c>
      <c r="E10" s="168">
        <f t="shared" ref="E10:J10" si="1">E12*E16*E20</f>
        <v>0.47084514118524012</v>
      </c>
      <c r="F10" s="168">
        <f t="shared" si="1"/>
        <v>0.32017031845725535</v>
      </c>
      <c r="G10" s="168">
        <f t="shared" si="1"/>
        <v>0.44379854402534125</v>
      </c>
      <c r="H10" s="169">
        <f t="shared" si="1"/>
        <v>0.33147989035126318</v>
      </c>
      <c r="I10" s="169">
        <f t="shared" si="1"/>
        <v>0.2544182382971597</v>
      </c>
      <c r="J10" s="169">
        <f t="shared" si="1"/>
        <v>0.2161219337517449</v>
      </c>
      <c r="K10" s="80"/>
    </row>
    <row r="11" spans="1:11">
      <c r="A11" s="80"/>
      <c r="H11" s="4"/>
      <c r="I11" s="4"/>
      <c r="J11" s="4"/>
      <c r="K11" s="80"/>
    </row>
    <row r="12" spans="1:11">
      <c r="A12" s="80"/>
      <c r="C12" s="6" t="s">
        <v>368</v>
      </c>
      <c r="E12" s="168">
        <f t="shared" ref="E12:J12" si="2">E13/E14</f>
        <v>6.9369615044903549E-2</v>
      </c>
      <c r="F12" s="168">
        <f t="shared" si="2"/>
        <v>6.1374168189342181E-2</v>
      </c>
      <c r="G12" s="168">
        <f t="shared" si="2"/>
        <v>9.176102320733201E-2</v>
      </c>
      <c r="H12" s="169">
        <f t="shared" si="2"/>
        <v>7.8335443215869036E-2</v>
      </c>
      <c r="I12" s="169">
        <f t="shared" si="2"/>
        <v>7.7014165036519325E-2</v>
      </c>
      <c r="J12" s="169">
        <f t="shared" si="2"/>
        <v>7.9248962821859364E-2</v>
      </c>
      <c r="K12" s="80"/>
    </row>
    <row r="13" spans="1:11">
      <c r="A13" s="80"/>
      <c r="C13" t="s">
        <v>369</v>
      </c>
      <c r="E13" s="129">
        <f>'Income Statement'!D19</f>
        <v>430158</v>
      </c>
      <c r="F13" s="129">
        <f>'Income Statement'!E19</f>
        <v>408375</v>
      </c>
      <c r="G13" s="129">
        <f>'Income Statement'!F19</f>
        <v>633125</v>
      </c>
      <c r="H13" s="33">
        <f>'Income Statement'!G19</f>
        <v>563265.05880671903</v>
      </c>
      <c r="I13" s="33">
        <f>'Income Statement'!H19</f>
        <v>577424.68238783092</v>
      </c>
      <c r="J13" s="33">
        <f>'Income Statement'!I19</f>
        <v>619890.91493044107</v>
      </c>
      <c r="K13" s="80"/>
    </row>
    <row r="14" spans="1:11">
      <c r="A14" s="80"/>
      <c r="C14" t="s">
        <v>370</v>
      </c>
      <c r="E14" s="129">
        <f>'Income Statement'!D7</f>
        <v>6200957</v>
      </c>
      <c r="F14" s="129">
        <f>'Income Statement'!E7</f>
        <v>6653858</v>
      </c>
      <c r="G14" s="129">
        <f>'Income Statement'!F7</f>
        <v>6899716</v>
      </c>
      <c r="H14" s="33">
        <f>'Income Statement'!G7</f>
        <v>7190424.1002955604</v>
      </c>
      <c r="I14" s="33">
        <f>'Income Statement'!H7</f>
        <v>7497642.5715194354</v>
      </c>
      <c r="J14" s="33">
        <f>'Income Statement'!I7</f>
        <v>7822069.7515482884</v>
      </c>
      <c r="K14" s="80"/>
    </row>
    <row r="15" spans="1:11">
      <c r="A15" s="80"/>
      <c r="H15" s="4"/>
      <c r="I15" s="4"/>
      <c r="J15" s="4"/>
      <c r="K15" s="80"/>
    </row>
    <row r="16" spans="1:11">
      <c r="A16" s="80"/>
      <c r="C16" s="6" t="s">
        <v>371</v>
      </c>
      <c r="E16" s="170">
        <f t="shared" ref="E16" si="3">E17/E18</f>
        <v>1.6716219913763009</v>
      </c>
      <c r="F16" s="170">
        <f t="shared" ref="F16" si="4">F17/F18</f>
        <v>1.5513984567755872</v>
      </c>
      <c r="G16" s="170">
        <f t="shared" ref="G16" si="5">G17/G18</f>
        <v>1.2986138702563588</v>
      </c>
      <c r="H16" s="171">
        <f t="shared" ref="H16" si="6">H17/H18</f>
        <v>1.2611669992445838</v>
      </c>
      <c r="I16" s="171">
        <f t="shared" ref="I16" si="7">I17/I18</f>
        <v>1.1910174974093033</v>
      </c>
      <c r="J16" s="171">
        <f t="shared" ref="J16" si="8">J17/J18</f>
        <v>1.1172767430494011</v>
      </c>
      <c r="K16" s="80"/>
    </row>
    <row r="17" spans="1:11">
      <c r="A17" s="80"/>
      <c r="C17" t="s">
        <v>370</v>
      </c>
      <c r="E17" s="129">
        <f>'Income Statement'!D7</f>
        <v>6200957</v>
      </c>
      <c r="F17" s="129">
        <f>'Income Statement'!E7</f>
        <v>6653858</v>
      </c>
      <c r="G17" s="129">
        <f>'Income Statement'!F7</f>
        <v>6899716</v>
      </c>
      <c r="H17" s="33">
        <f>'Income Statement'!G7</f>
        <v>7190424.1002955604</v>
      </c>
      <c r="I17" s="33">
        <f>'Income Statement'!H7</f>
        <v>7497642.5715194354</v>
      </c>
      <c r="J17" s="33">
        <f>'Income Statement'!I7</f>
        <v>7822069.7515482884</v>
      </c>
      <c r="K17" s="80"/>
    </row>
    <row r="18" spans="1:11">
      <c r="A18" s="80"/>
      <c r="C18" t="s">
        <v>372</v>
      </c>
      <c r="E18" s="129">
        <f>'Balance Sheet'!E26</f>
        <v>3709545</v>
      </c>
      <c r="F18" s="129">
        <f>'Balance Sheet'!F26</f>
        <v>4288942</v>
      </c>
      <c r="G18" s="129">
        <f>'Balance Sheet'!G26</f>
        <v>5313139</v>
      </c>
      <c r="H18" s="33">
        <f>'Balance Sheet'!H26</f>
        <v>5701405.2100970726</v>
      </c>
      <c r="I18" s="33">
        <f>'Balance Sheet'!I26</f>
        <v>6295157.3657215601</v>
      </c>
      <c r="J18" s="33">
        <f>'Balance Sheet'!J26</f>
        <v>7001013.6702562971</v>
      </c>
      <c r="K18" s="80"/>
    </row>
    <row r="19" spans="1:11">
      <c r="A19" s="80"/>
      <c r="H19" s="4"/>
      <c r="I19" s="4"/>
      <c r="J19" s="4"/>
      <c r="K19" s="80"/>
    </row>
    <row r="20" spans="1:11">
      <c r="A20" s="80"/>
      <c r="C20" s="6" t="s">
        <v>373</v>
      </c>
      <c r="E20" s="170">
        <f t="shared" ref="E20" si="9">E21/E22</f>
        <v>4.0604178912353177</v>
      </c>
      <c r="F20" s="170">
        <f t="shared" ref="F20" si="10">F21/F22</f>
        <v>3.3625758824235019</v>
      </c>
      <c r="G20" s="170">
        <f t="shared" ref="G20" si="11">G21/G22</f>
        <v>3.7243251370649677</v>
      </c>
      <c r="H20" s="171">
        <f t="shared" ref="H20" si="12">H21/H22</f>
        <v>3.3552608036700642</v>
      </c>
      <c r="I20" s="171">
        <f t="shared" ref="I20" si="13">I21/I22</f>
        <v>2.773700009094072</v>
      </c>
      <c r="J20" s="171">
        <f t="shared" ref="J20" si="14">J21/J22</f>
        <v>2.4408691532573537</v>
      </c>
      <c r="K20" s="80"/>
    </row>
    <row r="21" spans="1:11">
      <c r="A21" s="80"/>
      <c r="C21" t="s">
        <v>64</v>
      </c>
      <c r="E21" s="129">
        <f>'Balance Sheet'!E26</f>
        <v>3709545</v>
      </c>
      <c r="F21" s="129">
        <f>'Balance Sheet'!F26</f>
        <v>4288942</v>
      </c>
      <c r="G21" s="129">
        <f>'Balance Sheet'!G26</f>
        <v>5313139</v>
      </c>
      <c r="H21" s="33">
        <f>'Balance Sheet'!H26</f>
        <v>5701405.2100970726</v>
      </c>
      <c r="I21" s="33">
        <f>'Balance Sheet'!I26</f>
        <v>6295157.3657215601</v>
      </c>
      <c r="J21" s="33">
        <f>'Balance Sheet'!J26</f>
        <v>7001013.6702562971</v>
      </c>
      <c r="K21" s="80"/>
    </row>
    <row r="22" spans="1:11">
      <c r="A22" s="80"/>
      <c r="C22" t="s">
        <v>374</v>
      </c>
      <c r="E22" s="129">
        <f>AVERAGE('Balance Sheet'!D60:E60)</f>
        <v>913587</v>
      </c>
      <c r="F22" s="129">
        <f>AVERAGE('Balance Sheet'!E60:F60)</f>
        <v>1275493</v>
      </c>
      <c r="G22" s="129">
        <f>AVERAGE('Balance Sheet'!F60:G60)</f>
        <v>1426604.5</v>
      </c>
      <c r="H22" s="33">
        <f>AVERAGE('Balance Sheet'!G60:H60)</f>
        <v>1699243.5294033596</v>
      </c>
      <c r="I22" s="33">
        <f>AVERAGE('Balance Sheet'!H60:I60)</f>
        <v>2269588.4000006346</v>
      </c>
      <c r="J22" s="33">
        <f>AVERAGE('Balance Sheet'!I60:J60)</f>
        <v>2868246.1986597702</v>
      </c>
      <c r="K22" s="80"/>
    </row>
    <row r="23" spans="1:11">
      <c r="A23" s="80"/>
      <c r="H23" s="4"/>
      <c r="I23" s="4"/>
      <c r="J23" s="4"/>
      <c r="K23" s="80"/>
    </row>
    <row r="24" spans="1:11">
      <c r="A24" s="80"/>
      <c r="C24" s="6" t="s">
        <v>375</v>
      </c>
      <c r="H24" s="4"/>
      <c r="I24" s="4"/>
      <c r="J24" s="4"/>
      <c r="K24" s="80"/>
    </row>
    <row r="25" spans="1:11">
      <c r="A25" s="80"/>
      <c r="H25" s="4"/>
      <c r="I25" s="4"/>
      <c r="J25" s="4"/>
      <c r="K25" s="80"/>
    </row>
    <row r="26" spans="1:11">
      <c r="A26" s="80"/>
      <c r="C26" s="6" t="s">
        <v>367</v>
      </c>
      <c r="E26" s="168">
        <f t="shared" ref="E26:J26" si="15">E28*E32*E36*E40*E44</f>
        <v>0.47084514118524012</v>
      </c>
      <c r="F26" s="168">
        <f t="shared" si="15"/>
        <v>0.32017031845725535</v>
      </c>
      <c r="G26" s="168">
        <f t="shared" si="15"/>
        <v>0.44379854402534119</v>
      </c>
      <c r="H26" s="169">
        <f t="shared" si="15"/>
        <v>0.33147989035126313</v>
      </c>
      <c r="I26" s="169">
        <f t="shared" si="15"/>
        <v>0.2544182382971597</v>
      </c>
      <c r="J26" s="169">
        <f t="shared" si="15"/>
        <v>0.21612193375174488</v>
      </c>
      <c r="K26" s="80"/>
    </row>
    <row r="27" spans="1:11">
      <c r="A27" s="80"/>
      <c r="H27" s="4"/>
      <c r="I27" s="4"/>
      <c r="J27" s="4"/>
      <c r="K27" s="80"/>
    </row>
    <row r="28" spans="1:11">
      <c r="A28" s="80"/>
      <c r="C28" s="6" t="s">
        <v>376</v>
      </c>
      <c r="E28" s="168">
        <f t="shared" ref="E28" si="16">E29/E30</f>
        <v>0.10337872041363938</v>
      </c>
      <c r="F28" s="168">
        <f t="shared" ref="F28" si="17">F29/F30</f>
        <v>0.12540859753845063</v>
      </c>
      <c r="G28" s="168">
        <f t="shared" ref="G28" si="18">G29/G30</f>
        <v>0.13338954820749144</v>
      </c>
      <c r="H28" s="169">
        <f t="shared" ref="H28" si="19">H29/H30</f>
        <v>0.12072562205319394</v>
      </c>
      <c r="I28" s="169">
        <f t="shared" ref="I28" si="20">I29/I30</f>
        <v>0.12072562205319388</v>
      </c>
      <c r="J28" s="169">
        <f t="shared" ref="J28" si="21">J29/J30</f>
        <v>0.12072562205319391</v>
      </c>
      <c r="K28" s="80"/>
    </row>
    <row r="29" spans="1:11">
      <c r="A29" s="80"/>
      <c r="C29" t="s">
        <v>377</v>
      </c>
      <c r="E29" s="129">
        <f>'Income Statement'!D11</f>
        <v>641047</v>
      </c>
      <c r="F29" s="129">
        <f>'Income Statement'!E11</f>
        <v>834451</v>
      </c>
      <c r="G29" s="129">
        <f>'Income Statement'!F11</f>
        <v>920350</v>
      </c>
      <c r="H29" s="33">
        <f>'Income Statement'!G11</f>
        <v>868068.42233445891</v>
      </c>
      <c r="I29" s="33">
        <f>'Income Statement'!H11</f>
        <v>905157.56337919203</v>
      </c>
      <c r="J29" s="33">
        <f>'Income Statement'!I11</f>
        <v>944324.23649913911</v>
      </c>
      <c r="K29" s="80"/>
    </row>
    <row r="30" spans="1:11">
      <c r="A30" s="80"/>
      <c r="C30" t="s">
        <v>370</v>
      </c>
      <c r="E30" s="129">
        <f>'Income Statement'!D7</f>
        <v>6200957</v>
      </c>
      <c r="F30" s="129">
        <f>'Income Statement'!E7</f>
        <v>6653858</v>
      </c>
      <c r="G30" s="129">
        <f>'Income Statement'!F7</f>
        <v>6899716</v>
      </c>
      <c r="H30" s="33">
        <f>'Income Statement'!G7</f>
        <v>7190424.1002955604</v>
      </c>
      <c r="I30" s="33">
        <f>'Income Statement'!H7</f>
        <v>7497642.5715194354</v>
      </c>
      <c r="J30" s="33">
        <f>'Income Statement'!I7</f>
        <v>7822069.7515482884</v>
      </c>
      <c r="K30" s="80"/>
    </row>
    <row r="31" spans="1:11">
      <c r="A31" s="80"/>
      <c r="H31" s="4"/>
      <c r="I31" s="4"/>
      <c r="J31" s="4"/>
      <c r="K31" s="80"/>
    </row>
    <row r="32" spans="1:11">
      <c r="A32" s="80"/>
      <c r="C32" s="6" t="s">
        <v>378</v>
      </c>
      <c r="E32" s="168">
        <f t="shared" ref="E32" si="22">E33/E34</f>
        <v>0.74798769577472624</v>
      </c>
      <c r="F32" s="168">
        <f t="shared" ref="F32" si="23">F33/F34</f>
        <v>0.73253617612080058</v>
      </c>
      <c r="G32" s="168">
        <f t="shared" ref="G32" si="24">G33/G34</f>
        <v>0.73906734807752017</v>
      </c>
      <c r="H32" s="169">
        <f t="shared" ref="H32" si="25">H33/H34</f>
        <v>0.73986373999101573</v>
      </c>
      <c r="I32" s="169">
        <f t="shared" ref="I32" si="26">I33/I34</f>
        <v>0.73715575472977879</v>
      </c>
      <c r="J32" s="169">
        <f t="shared" ref="J32" si="27">J33/J34</f>
        <v>0.73869561426610486</v>
      </c>
      <c r="K32" s="80"/>
    </row>
    <row r="33" spans="1:11">
      <c r="A33" s="80"/>
      <c r="C33" t="s">
        <v>379</v>
      </c>
      <c r="E33" s="129">
        <f>'Income Statement'!D19</f>
        <v>430158</v>
      </c>
      <c r="F33" s="129">
        <f>'Income Statement'!E19</f>
        <v>408375</v>
      </c>
      <c r="G33" s="129">
        <f>'Income Statement'!F19</f>
        <v>633125</v>
      </c>
      <c r="H33" s="33">
        <f>'Income Statement'!G19</f>
        <v>563265.05880671903</v>
      </c>
      <c r="I33" s="33">
        <f>'Income Statement'!H19</f>
        <v>577424.68238783092</v>
      </c>
      <c r="J33" s="33">
        <f>'Income Statement'!I19</f>
        <v>619890.91493044107</v>
      </c>
      <c r="K33" s="80"/>
    </row>
    <row r="34" spans="1:11">
      <c r="A34" s="80"/>
      <c r="C34" t="s">
        <v>380</v>
      </c>
      <c r="E34" s="129">
        <f>'Income Statement'!D16</f>
        <v>575087</v>
      </c>
      <c r="F34" s="129">
        <f>'Income Statement'!E16</f>
        <v>557481</v>
      </c>
      <c r="G34" s="129">
        <f>'Income Statement'!F16</f>
        <v>856654</v>
      </c>
      <c r="H34" s="33">
        <f>'Income Statement'!G16</f>
        <v>761309.18216583889</v>
      </c>
      <c r="I34" s="33">
        <f>'Income Statement'!H16</f>
        <v>783314.35206593352</v>
      </c>
      <c r="J34" s="33">
        <f>'Income Statement'!I16</f>
        <v>839169.61595379654</v>
      </c>
      <c r="K34" s="80"/>
    </row>
    <row r="35" spans="1:11">
      <c r="A35" s="80"/>
      <c r="H35" s="4"/>
      <c r="I35" s="4"/>
      <c r="J35" s="4"/>
      <c r="K35" s="80"/>
    </row>
    <row r="36" spans="1:11">
      <c r="A36" s="80"/>
      <c r="C36" s="6" t="s">
        <v>381</v>
      </c>
      <c r="E36" s="168">
        <f t="shared" ref="E36" si="28">E37/E38</f>
        <v>0.8971058284337966</v>
      </c>
      <c r="F36" s="168">
        <f t="shared" ref="F36" si="29">F37/F38</f>
        <v>0.66808116953541907</v>
      </c>
      <c r="G36" s="168">
        <f t="shared" ref="G36" si="30">G37/G38</f>
        <v>0.9307915466941924</v>
      </c>
      <c r="H36" s="169">
        <f t="shared" ref="H36" si="31">H37/H38</f>
        <v>0.87701517827187281</v>
      </c>
      <c r="I36" s="169">
        <f t="shared" ref="I36" si="32">I37/I38</f>
        <v>0.86539005335337904</v>
      </c>
      <c r="J36" s="169">
        <f t="shared" ref="J36" si="33">J37/J38</f>
        <v>0.88864564046859718</v>
      </c>
      <c r="K36" s="80"/>
    </row>
    <row r="37" spans="1:11">
      <c r="A37" s="80"/>
      <c r="C37" t="s">
        <v>380</v>
      </c>
      <c r="E37" s="129">
        <f>'Income Statement'!D16</f>
        <v>575087</v>
      </c>
      <c r="F37" s="129">
        <f>'Income Statement'!E16</f>
        <v>557481</v>
      </c>
      <c r="G37" s="129">
        <f>'Income Statement'!F16</f>
        <v>856654</v>
      </c>
      <c r="H37" s="33">
        <f>'Income Statement'!G16</f>
        <v>761309.18216583889</v>
      </c>
      <c r="I37" s="33">
        <f>'Income Statement'!H16</f>
        <v>783314.35206593352</v>
      </c>
      <c r="J37" s="33">
        <f>'Income Statement'!I16</f>
        <v>839169.61595379654</v>
      </c>
      <c r="K37" s="80"/>
    </row>
    <row r="38" spans="1:11">
      <c r="A38" s="80"/>
      <c r="C38" t="s">
        <v>377</v>
      </c>
      <c r="E38" s="129">
        <f>'Income Statement'!D11</f>
        <v>641047</v>
      </c>
      <c r="F38" s="129">
        <f>'Income Statement'!E11</f>
        <v>834451</v>
      </c>
      <c r="G38" s="129">
        <f>'Income Statement'!F11</f>
        <v>920350</v>
      </c>
      <c r="H38" s="33">
        <f>'Income Statement'!G11</f>
        <v>868068.42233445891</v>
      </c>
      <c r="I38" s="33">
        <f>'Income Statement'!H11</f>
        <v>905157.56337919203</v>
      </c>
      <c r="J38" s="33">
        <f>'Income Statement'!I11</f>
        <v>944324.23649913911</v>
      </c>
      <c r="K38" s="80"/>
    </row>
    <row r="39" spans="1:11">
      <c r="A39" s="80"/>
      <c r="H39" s="4"/>
      <c r="I39" s="4"/>
      <c r="J39" s="4"/>
      <c r="K39" s="80"/>
    </row>
    <row r="40" spans="1:11">
      <c r="A40" s="80"/>
      <c r="C40" s="6" t="s">
        <v>382</v>
      </c>
      <c r="E40" s="170">
        <f t="shared" ref="E40" si="34">E41/E42</f>
        <v>1.6716219913763009</v>
      </c>
      <c r="F40" s="170">
        <f t="shared" ref="F40" si="35">F41/F42</f>
        <v>1.5513984567755872</v>
      </c>
      <c r="G40" s="170">
        <f t="shared" ref="G40" si="36">G41/G42</f>
        <v>1.2986138702563588</v>
      </c>
      <c r="H40" s="171">
        <f t="shared" ref="H40" si="37">H41/H42</f>
        <v>1.2611669992445838</v>
      </c>
      <c r="I40" s="171">
        <f t="shared" ref="I40" si="38">I41/I42</f>
        <v>1.1910174974093033</v>
      </c>
      <c r="J40" s="171">
        <f t="shared" ref="J40" si="39">J41/J42</f>
        <v>1.1172767430494011</v>
      </c>
      <c r="K40" s="80"/>
    </row>
    <row r="41" spans="1:11">
      <c r="A41" s="80"/>
      <c r="C41" t="s">
        <v>370</v>
      </c>
      <c r="E41" s="129">
        <f>'Income Statement'!D7</f>
        <v>6200957</v>
      </c>
      <c r="F41" s="129">
        <f>'Income Statement'!E7</f>
        <v>6653858</v>
      </c>
      <c r="G41" s="129">
        <f>'Income Statement'!F7</f>
        <v>6899716</v>
      </c>
      <c r="H41" s="33">
        <f>'Income Statement'!G7</f>
        <v>7190424.1002955604</v>
      </c>
      <c r="I41" s="33">
        <f>'Income Statement'!H7</f>
        <v>7497642.5715194354</v>
      </c>
      <c r="J41" s="33">
        <f>'Income Statement'!I7</f>
        <v>7822069.7515482884</v>
      </c>
      <c r="K41" s="80"/>
    </row>
    <row r="42" spans="1:11">
      <c r="A42" s="80"/>
      <c r="C42" t="s">
        <v>383</v>
      </c>
      <c r="E42" s="129">
        <f>'Balance Sheet'!E26</f>
        <v>3709545</v>
      </c>
      <c r="F42" s="129">
        <f>'Balance Sheet'!F26</f>
        <v>4288942</v>
      </c>
      <c r="G42" s="129">
        <f>'Balance Sheet'!G26</f>
        <v>5313139</v>
      </c>
      <c r="H42" s="33">
        <f>'Balance Sheet'!H26</f>
        <v>5701405.2100970726</v>
      </c>
      <c r="I42" s="33">
        <f>'Balance Sheet'!I26</f>
        <v>6295157.3657215601</v>
      </c>
      <c r="J42" s="33">
        <f>'Balance Sheet'!J26</f>
        <v>7001013.6702562971</v>
      </c>
      <c r="K42" s="80"/>
    </row>
    <row r="43" spans="1:11">
      <c r="A43" s="80"/>
      <c r="H43" s="4"/>
      <c r="I43" s="4"/>
      <c r="J43" s="4"/>
      <c r="K43" s="80"/>
    </row>
    <row r="44" spans="1:11">
      <c r="A44" s="80"/>
      <c r="C44" s="6" t="s">
        <v>373</v>
      </c>
      <c r="E44" s="170">
        <f t="shared" ref="E44:J44" si="40">E45/E46</f>
        <v>4.0604178912353177</v>
      </c>
      <c r="F44" s="170">
        <f t="shared" si="40"/>
        <v>3.3625758824235019</v>
      </c>
      <c r="G44" s="170">
        <f t="shared" si="40"/>
        <v>3.7243251370649677</v>
      </c>
      <c r="H44" s="171">
        <f t="shared" si="40"/>
        <v>3.3552608036700642</v>
      </c>
      <c r="I44" s="171">
        <f t="shared" si="40"/>
        <v>2.773700009094072</v>
      </c>
      <c r="J44" s="171">
        <f t="shared" si="40"/>
        <v>2.4408691532573537</v>
      </c>
      <c r="K44" s="80"/>
    </row>
    <row r="45" spans="1:11">
      <c r="A45" s="80"/>
      <c r="C45" t="s">
        <v>64</v>
      </c>
      <c r="E45" s="129">
        <f>'Balance Sheet'!E26</f>
        <v>3709545</v>
      </c>
      <c r="F45" s="129">
        <f>'Balance Sheet'!F26</f>
        <v>4288942</v>
      </c>
      <c r="G45" s="129">
        <f>'Balance Sheet'!G26</f>
        <v>5313139</v>
      </c>
      <c r="H45" s="33">
        <f>'Balance Sheet'!H26</f>
        <v>5701405.2100970726</v>
      </c>
      <c r="I45" s="33">
        <f>'Balance Sheet'!I26</f>
        <v>6295157.3657215601</v>
      </c>
      <c r="J45" s="33">
        <f>'Balance Sheet'!J26</f>
        <v>7001013.6702562971</v>
      </c>
      <c r="K45" s="80"/>
    </row>
    <row r="46" spans="1:11">
      <c r="A46" s="80"/>
      <c r="C46" t="s">
        <v>374</v>
      </c>
      <c r="E46" s="129">
        <f>AVERAGE('Balance Sheet'!D60:E60)</f>
        <v>913587</v>
      </c>
      <c r="F46" s="129">
        <f>AVERAGE('Balance Sheet'!E60:F60)</f>
        <v>1275493</v>
      </c>
      <c r="G46" s="129">
        <f>AVERAGE('Balance Sheet'!F60:G60)</f>
        <v>1426604.5</v>
      </c>
      <c r="H46" s="33">
        <f>AVERAGE('Balance Sheet'!G60:H60)</f>
        <v>1699243.5294033596</v>
      </c>
      <c r="I46" s="33">
        <f>AVERAGE('Balance Sheet'!H60:I60)</f>
        <v>2269588.4000006346</v>
      </c>
      <c r="J46" s="33">
        <f>AVERAGE('Balance Sheet'!I60:J60)</f>
        <v>2868246.1986597702</v>
      </c>
      <c r="K46" s="80"/>
    </row>
    <row r="47" spans="1:11">
      <c r="A47" s="80"/>
      <c r="H47" s="4"/>
      <c r="I47" s="4"/>
      <c r="J47" s="4"/>
      <c r="K47" s="80"/>
    </row>
    <row r="48" spans="1:11">
      <c r="A48" s="80"/>
      <c r="H48" s="4"/>
      <c r="I48" s="4"/>
      <c r="J48" s="4"/>
      <c r="K48" s="80"/>
    </row>
    <row r="49" spans="1:11">
      <c r="A49" s="80"/>
      <c r="H49" s="4"/>
      <c r="I49" s="4"/>
      <c r="J49" s="4"/>
      <c r="K49" s="80"/>
    </row>
    <row r="50" spans="1:11">
      <c r="A50" s="80"/>
      <c r="H50" s="4"/>
      <c r="I50" s="4"/>
      <c r="J50" s="4"/>
      <c r="K50" s="80"/>
    </row>
    <row r="51" spans="1:11">
      <c r="A51" s="80"/>
      <c r="H51" s="4"/>
      <c r="I51" s="4"/>
      <c r="J51" s="4"/>
      <c r="K51" s="80"/>
    </row>
    <row r="52" spans="1:11">
      <c r="A52" s="80"/>
      <c r="H52" s="4"/>
      <c r="I52" s="4"/>
      <c r="J52" s="4"/>
      <c r="K52" s="80"/>
    </row>
    <row r="53" spans="1:11">
      <c r="A53" s="80"/>
      <c r="H53" s="4"/>
      <c r="I53" s="4"/>
      <c r="J53" s="4"/>
      <c r="K53" s="80"/>
    </row>
    <row r="54" spans="1:11">
      <c r="A54" s="80"/>
      <c r="H54" s="4"/>
      <c r="I54" s="4"/>
      <c r="J54" s="4"/>
      <c r="K54" s="80"/>
    </row>
    <row r="55" spans="1:11">
      <c r="A55" s="80"/>
      <c r="H55" s="4"/>
      <c r="I55" s="4"/>
      <c r="J55" s="4"/>
      <c r="K55" s="80"/>
    </row>
    <row r="56" spans="1:11">
      <c r="A56" s="80"/>
      <c r="H56" s="4"/>
      <c r="I56" s="4"/>
      <c r="J56" s="4"/>
      <c r="K56" s="80"/>
    </row>
    <row r="57" spans="1:11">
      <c r="A57" s="80"/>
      <c r="H57" s="4"/>
      <c r="I57" s="4"/>
      <c r="J57" s="4"/>
      <c r="K57" s="80"/>
    </row>
    <row r="58" spans="1:11">
      <c r="A58" s="80"/>
      <c r="H58" s="4"/>
      <c r="I58" s="4"/>
      <c r="J58" s="4"/>
      <c r="K58" s="80"/>
    </row>
    <row r="59" spans="1:11">
      <c r="A59" s="80"/>
      <c r="H59" s="4"/>
      <c r="I59" s="4"/>
      <c r="J59" s="4"/>
      <c r="K59" s="80"/>
    </row>
    <row r="60" spans="1:11">
      <c r="A60" s="80"/>
      <c r="H60" s="4"/>
      <c r="I60" s="4"/>
      <c r="J60" s="4"/>
      <c r="K60" s="80"/>
    </row>
    <row r="61" spans="1:11">
      <c r="A61" s="80"/>
      <c r="H61" s="4"/>
      <c r="I61" s="4"/>
      <c r="J61" s="4"/>
      <c r="K61" s="80"/>
    </row>
    <row r="62" spans="1:11">
      <c r="A62" s="80"/>
      <c r="H62" s="4"/>
      <c r="I62" s="4"/>
      <c r="J62" s="4"/>
      <c r="K62" s="80"/>
    </row>
    <row r="63" spans="1:11">
      <c r="A63" s="80"/>
      <c r="H63" s="4"/>
      <c r="I63" s="4"/>
      <c r="J63" s="4"/>
      <c r="K63" s="80"/>
    </row>
    <row r="64" spans="1:11">
      <c r="A64" s="80"/>
      <c r="H64" s="4"/>
      <c r="I64" s="4"/>
      <c r="J64" s="4"/>
      <c r="K64" s="80"/>
    </row>
    <row r="65" spans="1:11">
      <c r="A65" s="80"/>
      <c r="H65" s="4"/>
      <c r="I65" s="4"/>
      <c r="J65" s="4"/>
      <c r="K65" s="80"/>
    </row>
    <row r="66" spans="1:11">
      <c r="A66" s="80"/>
      <c r="H66" s="4"/>
      <c r="I66" s="4"/>
      <c r="J66" s="4"/>
      <c r="K66" s="80"/>
    </row>
    <row r="67" spans="1:11">
      <c r="A67" s="80"/>
      <c r="H67" s="4"/>
      <c r="I67" s="4"/>
      <c r="J67" s="4"/>
      <c r="K67" s="80"/>
    </row>
    <row r="68" spans="1:11">
      <c r="A68" s="80"/>
      <c r="H68" s="4"/>
      <c r="I68" s="4"/>
      <c r="J68" s="4"/>
      <c r="K68" s="80"/>
    </row>
    <row r="69" spans="1:11">
      <c r="A69" s="80"/>
      <c r="H69" s="4"/>
      <c r="I69" s="4"/>
      <c r="J69" s="4"/>
      <c r="K69" s="80"/>
    </row>
    <row r="70" spans="1:11">
      <c r="A70" s="80"/>
      <c r="H70" s="4"/>
      <c r="I70" s="4"/>
      <c r="J70" s="4"/>
      <c r="K70" s="80"/>
    </row>
    <row r="71" spans="1:11">
      <c r="A71" s="80"/>
      <c r="H71" s="4"/>
      <c r="I71" s="4"/>
      <c r="J71" s="4"/>
      <c r="K71" s="80"/>
    </row>
    <row r="72" spans="1:11">
      <c r="A72" s="80"/>
      <c r="H72" s="4"/>
      <c r="I72" s="4"/>
      <c r="J72" s="4"/>
      <c r="K72" s="80"/>
    </row>
    <row r="73" spans="1:11">
      <c r="A73" s="80"/>
      <c r="H73" s="4"/>
      <c r="I73" s="4"/>
      <c r="J73" s="4"/>
      <c r="K73" s="80"/>
    </row>
    <row r="74" spans="1:11">
      <c r="A74" s="80"/>
      <c r="H74" s="4"/>
      <c r="I74" s="4"/>
      <c r="J74" s="4"/>
      <c r="K74" s="80"/>
    </row>
    <row r="75" spans="1:11">
      <c r="A75" s="80"/>
      <c r="H75" s="4"/>
      <c r="I75" s="4"/>
      <c r="J75" s="4"/>
      <c r="K75" s="80"/>
    </row>
    <row r="76" spans="1:11">
      <c r="A76" s="80"/>
      <c r="H76" s="4"/>
      <c r="I76" s="4"/>
      <c r="J76" s="4"/>
      <c r="K76" s="80"/>
    </row>
    <row r="77" spans="1:11">
      <c r="A77" s="80"/>
      <c r="H77" s="4"/>
      <c r="I77" s="4"/>
      <c r="J77" s="4"/>
      <c r="K77" s="80"/>
    </row>
    <row r="78" spans="1:11">
      <c r="A78" s="80"/>
      <c r="H78" s="4"/>
      <c r="I78" s="4"/>
      <c r="J78" s="4"/>
      <c r="K78" s="80"/>
    </row>
    <row r="79" spans="1:11">
      <c r="A79" s="80"/>
      <c r="H79" s="4"/>
      <c r="I79" s="4"/>
      <c r="J79" s="4"/>
      <c r="K79" s="80"/>
    </row>
    <row r="80" spans="1:11">
      <c r="A80" s="80"/>
      <c r="H80" s="4"/>
      <c r="I80" s="4"/>
      <c r="J80" s="4"/>
      <c r="K80" s="80"/>
    </row>
    <row r="81" spans="1:11">
      <c r="A81" s="80"/>
      <c r="H81" s="4"/>
      <c r="I81" s="4"/>
      <c r="J81" s="4"/>
      <c r="K81" s="80"/>
    </row>
    <row r="82" spans="1:11">
      <c r="A82" s="80"/>
      <c r="H82" s="4"/>
      <c r="I82" s="4"/>
      <c r="J82" s="4"/>
      <c r="K82" s="80"/>
    </row>
    <row r="83" spans="1:11">
      <c r="A83" s="80"/>
      <c r="H83" s="4"/>
      <c r="I83" s="4"/>
      <c r="J83" s="4"/>
      <c r="K83" s="80"/>
    </row>
    <row r="84" spans="1:11">
      <c r="A84" s="80"/>
      <c r="H84" s="4"/>
      <c r="I84" s="4"/>
      <c r="J84" s="4"/>
      <c r="K84" s="80"/>
    </row>
    <row r="85" spans="1:11">
      <c r="A85" s="80"/>
      <c r="H85" s="4"/>
      <c r="I85" s="4"/>
      <c r="J85" s="4"/>
      <c r="K85" s="80"/>
    </row>
    <row r="86" spans="1:11">
      <c r="A86" s="80"/>
      <c r="H86" s="4"/>
      <c r="I86" s="4"/>
      <c r="J86" s="4"/>
      <c r="K86" s="80"/>
    </row>
    <row r="87" spans="1:11">
      <c r="A87" s="80"/>
      <c r="H87" s="4"/>
      <c r="I87" s="4"/>
      <c r="J87" s="4"/>
      <c r="K87" s="80"/>
    </row>
    <row r="88" spans="1:11">
      <c r="A88" s="80"/>
      <c r="H88" s="4"/>
      <c r="I88" s="4"/>
      <c r="J88" s="4"/>
      <c r="K88" s="80"/>
    </row>
    <row r="89" spans="1:11">
      <c r="A89" s="80"/>
      <c r="H89" s="4"/>
      <c r="I89" s="4"/>
      <c r="J89" s="4"/>
      <c r="K89" s="80"/>
    </row>
    <row r="90" spans="1:11">
      <c r="A90" s="80"/>
      <c r="H90" s="4"/>
      <c r="I90" s="4"/>
      <c r="J90" s="4"/>
      <c r="K90" s="80"/>
    </row>
    <row r="91" spans="1:11">
      <c r="A91" s="80"/>
      <c r="H91" s="4"/>
      <c r="I91" s="4"/>
      <c r="J91" s="4"/>
      <c r="K91" s="80"/>
    </row>
    <row r="92" spans="1:11">
      <c r="A92" s="80"/>
      <c r="H92" s="4"/>
      <c r="I92" s="4"/>
      <c r="J92" s="4"/>
      <c r="K92" s="80"/>
    </row>
    <row r="93" spans="1:11">
      <c r="A93" s="80"/>
      <c r="H93" s="4"/>
      <c r="I93" s="4"/>
      <c r="J93" s="4"/>
      <c r="K93" s="80"/>
    </row>
    <row r="94" spans="1:11">
      <c r="A94" s="80"/>
      <c r="H94" s="4"/>
      <c r="I94" s="4"/>
      <c r="J94" s="4"/>
      <c r="K94" s="80"/>
    </row>
    <row r="95" spans="1:11">
      <c r="A95" s="80"/>
      <c r="H95" s="4"/>
      <c r="I95" s="4"/>
      <c r="J95" s="4"/>
      <c r="K95" s="80"/>
    </row>
    <row r="96" spans="1:11">
      <c r="A96" s="80"/>
      <c r="H96" s="4"/>
      <c r="I96" s="4"/>
      <c r="J96" s="4"/>
      <c r="K96" s="80"/>
    </row>
    <row r="97" spans="1:11">
      <c r="A97" s="80"/>
      <c r="H97" s="4"/>
      <c r="I97" s="4"/>
      <c r="J97" s="4"/>
      <c r="K97" s="80"/>
    </row>
    <row r="98" spans="1:11">
      <c r="A98" s="80"/>
      <c r="H98" s="4"/>
      <c r="I98" s="4"/>
      <c r="J98" s="4"/>
      <c r="K98" s="80"/>
    </row>
    <row r="99" spans="1:11">
      <c r="A99" s="80"/>
      <c r="H99" s="4"/>
      <c r="I99" s="4"/>
      <c r="J99" s="4"/>
      <c r="K99" s="80"/>
    </row>
    <row r="100" spans="1:11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</row>
  </sheetData>
  <mergeCells count="5">
    <mergeCell ref="B2:C2"/>
    <mergeCell ref="B3:C3"/>
    <mergeCell ref="E3:G3"/>
    <mergeCell ref="H3:J3"/>
    <mergeCell ref="B4:C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9D3B5-940E-4C74-9C49-1DC38A37F500}">
  <dimension ref="A1:U100"/>
  <sheetViews>
    <sheetView showGridLines="0" tabSelected="1" zoomScale="96" zoomScaleNormal="96" workbookViewId="0">
      <selection activeCell="D8" sqref="D8"/>
    </sheetView>
  </sheetViews>
  <sheetFormatPr defaultColWidth="0" defaultRowHeight="14.4" outlineLevelRow="1"/>
  <cols>
    <col min="1" max="2" width="3.77734375" customWidth="1"/>
    <col min="3" max="3" width="50.77734375" customWidth="1"/>
    <col min="4" max="18" width="12.5546875" bestFit="1" customWidth="1"/>
    <col min="19" max="19" width="17.77734375" bestFit="1" customWidth="1"/>
    <col min="20" max="20" width="3.77734375" customWidth="1"/>
    <col min="21" max="21" width="3.77734375" hidden="1" customWidth="1"/>
    <col min="22" max="16384" width="8.88671875" hidden="1"/>
  </cols>
  <sheetData>
    <row r="1" spans="1:20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  <c r="M1" s="80"/>
      <c r="N1" s="80"/>
      <c r="O1" s="80"/>
      <c r="P1" s="80"/>
      <c r="Q1" s="80"/>
      <c r="R1" s="80"/>
      <c r="S1" s="80"/>
      <c r="T1" s="80"/>
    </row>
    <row r="2" spans="1:20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80"/>
    </row>
    <row r="3" spans="1:20">
      <c r="A3" s="80"/>
      <c r="B3" s="267" t="s">
        <v>387</v>
      </c>
      <c r="C3" s="267"/>
      <c r="D3" s="268" t="s">
        <v>8</v>
      </c>
      <c r="E3" s="268"/>
      <c r="F3" s="268"/>
      <c r="G3" s="268" t="s">
        <v>9</v>
      </c>
      <c r="H3" s="268"/>
      <c r="I3" s="268"/>
      <c r="J3" s="269" t="s">
        <v>479</v>
      </c>
      <c r="K3" s="269"/>
      <c r="L3" s="269"/>
      <c r="M3" s="274" t="s">
        <v>480</v>
      </c>
      <c r="N3" s="274"/>
      <c r="O3" s="274"/>
      <c r="P3" s="273" t="s">
        <v>398</v>
      </c>
      <c r="Q3" s="273"/>
      <c r="R3" s="273"/>
      <c r="S3" s="81"/>
      <c r="T3" s="80"/>
    </row>
    <row r="4" spans="1:20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79">
        <f t="shared" ref="J4" si="1">EDATE(I4,12)</f>
        <v>47118</v>
      </c>
      <c r="K4" s="79">
        <f t="shared" ref="K4" si="2">EDATE(J4,12)</f>
        <v>47483</v>
      </c>
      <c r="L4" s="79">
        <f t="shared" ref="L4" si="3">EDATE(K4,12)</f>
        <v>47848</v>
      </c>
      <c r="M4" s="79">
        <f t="shared" ref="M4" si="4">EDATE(L4,12)</f>
        <v>48213</v>
      </c>
      <c r="N4" s="79">
        <f t="shared" ref="N4" si="5">EDATE(M4,12)</f>
        <v>48579</v>
      </c>
      <c r="O4" s="79">
        <f t="shared" ref="O4" si="6">EDATE(N4,12)</f>
        <v>48944</v>
      </c>
      <c r="P4" s="79">
        <f t="shared" ref="P4" si="7">EDATE(O4,12)</f>
        <v>49309</v>
      </c>
      <c r="Q4" s="79">
        <f t="shared" ref="Q4" si="8">EDATE(P4,12)</f>
        <v>49674</v>
      </c>
      <c r="R4" s="79">
        <f t="shared" ref="R4" si="9">EDATE(Q4,12)</f>
        <v>50040</v>
      </c>
      <c r="S4" s="183" t="s">
        <v>388</v>
      </c>
      <c r="T4" s="80"/>
    </row>
    <row r="5" spans="1:20">
      <c r="A5" s="80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80"/>
    </row>
    <row r="6" spans="1:20">
      <c r="A6" s="80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80"/>
    </row>
    <row r="7" spans="1:20">
      <c r="A7" s="80"/>
      <c r="C7" t="s">
        <v>377</v>
      </c>
      <c r="D7" s="129">
        <f>'Income Statement'!D11</f>
        <v>641047</v>
      </c>
      <c r="E7" s="129">
        <f>'Income Statement'!E11</f>
        <v>834451</v>
      </c>
      <c r="F7" s="129">
        <f>'Income Statement'!F11</f>
        <v>920350</v>
      </c>
      <c r="G7" s="33">
        <f>'Income Statement'!G11</f>
        <v>868068.42233445891</v>
      </c>
      <c r="H7" s="33">
        <f>'Income Statement'!H11</f>
        <v>905157.56337919203</v>
      </c>
      <c r="I7" s="33">
        <f>'Income Statement'!I11</f>
        <v>944324.23649913911</v>
      </c>
      <c r="J7" s="4"/>
      <c r="K7" s="4"/>
      <c r="L7" s="4"/>
      <c r="M7" s="4"/>
      <c r="N7" s="4"/>
      <c r="O7" s="4"/>
      <c r="P7" s="4"/>
      <c r="Q7" s="4"/>
      <c r="R7" s="4"/>
      <c r="S7" s="4"/>
      <c r="T7" s="80"/>
    </row>
    <row r="8" spans="1:20">
      <c r="A8" s="80"/>
      <c r="C8" t="s">
        <v>389</v>
      </c>
      <c r="D8" s="129">
        <f>D7*'Income Statement'!D18</f>
        <v>161551.73158669908</v>
      </c>
      <c r="E8" s="129">
        <f>E7*'Income Statement'!E18</f>
        <v>223185.45529982189</v>
      </c>
      <c r="F8" s="129">
        <f>F7*'Income Statement'!F18</f>
        <v>240149.36619685427</v>
      </c>
      <c r="G8" s="33">
        <f>G7*'Income Statement'!G18</f>
        <v>226507.39548989353</v>
      </c>
      <c r="H8" s="33">
        <f>H7*'Income Statement'!H18</f>
        <v>236185.16342022264</v>
      </c>
      <c r="I8" s="33">
        <f>I7*'Income Statement'!I18</f>
        <v>246405.02730439135</v>
      </c>
      <c r="J8" s="4"/>
      <c r="K8" s="4"/>
      <c r="L8" s="4"/>
      <c r="M8" s="4"/>
      <c r="N8" s="4"/>
      <c r="O8" s="4"/>
      <c r="P8" s="4"/>
      <c r="Q8" s="4"/>
      <c r="R8" s="4"/>
      <c r="S8" s="4"/>
      <c r="T8" s="80"/>
    </row>
    <row r="9" spans="1:20">
      <c r="A9" s="80"/>
      <c r="C9" s="184" t="s">
        <v>390</v>
      </c>
      <c r="D9" s="224">
        <f t="shared" ref="D9:I9" si="10">D7-D8</f>
        <v>479495.26841330092</v>
      </c>
      <c r="E9" s="224">
        <f t="shared" si="10"/>
        <v>611265.54470017808</v>
      </c>
      <c r="F9" s="224">
        <f t="shared" si="10"/>
        <v>680200.63380314573</v>
      </c>
      <c r="G9" s="40">
        <f t="shared" si="10"/>
        <v>641561.02684456541</v>
      </c>
      <c r="H9" s="40">
        <f t="shared" si="10"/>
        <v>668972.39995896933</v>
      </c>
      <c r="I9" s="40">
        <f t="shared" si="10"/>
        <v>697919.20919474773</v>
      </c>
      <c r="J9" s="4"/>
      <c r="K9" s="4"/>
      <c r="L9" s="4"/>
      <c r="M9" s="4"/>
      <c r="N9" s="4"/>
      <c r="O9" s="4"/>
      <c r="P9" s="4"/>
      <c r="Q9" s="4"/>
      <c r="R9" s="4"/>
      <c r="S9" s="4"/>
      <c r="T9" s="80"/>
    </row>
    <row r="10" spans="1:20">
      <c r="A10" s="80"/>
      <c r="C10" t="s">
        <v>391</v>
      </c>
      <c r="D10" s="129">
        <f>'Cash Flow Statement'!D10</f>
        <v>147962</v>
      </c>
      <c r="E10" s="129">
        <f>'Cash Flow Statement'!E10</f>
        <v>153472</v>
      </c>
      <c r="F10" s="129">
        <f>'Cash Flow Statement'!F10</f>
        <v>170343</v>
      </c>
      <c r="G10" s="33">
        <f>'Cash Flow Statement'!G10</f>
        <v>110645.85438116189</v>
      </c>
      <c r="H10" s="33">
        <f>'Cash Flow Statement'!H10</f>
        <v>125658.37789725728</v>
      </c>
      <c r="I10" s="33">
        <f>'Cash Flow Statement'!I10</f>
        <v>140709.76837170406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80"/>
    </row>
    <row r="11" spans="1:20">
      <c r="A11" s="80"/>
      <c r="C11" t="s">
        <v>392</v>
      </c>
      <c r="D11" s="129">
        <f>'Cash Flow Statement'!D25</f>
        <v>-298611</v>
      </c>
      <c r="E11" s="129">
        <f>'Cash Flow Statement'!E25</f>
        <v>-282304</v>
      </c>
      <c r="F11" s="129">
        <f>'Cash Flow Statement'!F25</f>
        <v>-371015</v>
      </c>
      <c r="G11" s="33">
        <f>'Cash Flow Statement'!G25</f>
        <v>-347151.11992334161</v>
      </c>
      <c r="H11" s="33">
        <f>'Cash Flow Statement'!H25</f>
        <v>-361983.51852165535</v>
      </c>
      <c r="I11" s="33">
        <f>'Cash Flow Statement'!I25</f>
        <v>-377646.74746471009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80"/>
    </row>
    <row r="12" spans="1:20" ht="15" thickBot="1">
      <c r="A12" s="80"/>
      <c r="C12" t="s">
        <v>393</v>
      </c>
      <c r="D12" s="129">
        <f>'Working Capital'!E30</f>
        <v>45335</v>
      </c>
      <c r="E12" s="129">
        <f>'Working Capital'!F30</f>
        <v>-165729</v>
      </c>
      <c r="F12" s="129">
        <f>'Working Capital'!G30</f>
        <v>466744</v>
      </c>
      <c r="G12" s="33">
        <f>'Working Capital'!H30</f>
        <v>14218.499999999884</v>
      </c>
      <c r="H12" s="33">
        <f>'Working Capital'!I30</f>
        <v>14645.055000000051</v>
      </c>
      <c r="I12" s="33">
        <f>'Working Capital'!J30</f>
        <v>15084.406650000252</v>
      </c>
      <c r="J12" s="4"/>
      <c r="K12" s="4"/>
      <c r="L12" s="4"/>
      <c r="M12" s="4"/>
      <c r="N12" s="4"/>
      <c r="O12" s="4"/>
      <c r="P12" s="4"/>
      <c r="Q12" s="4"/>
      <c r="R12" s="4"/>
      <c r="S12" s="234" t="s">
        <v>476</v>
      </c>
      <c r="T12" s="80"/>
    </row>
    <row r="13" spans="1:20" ht="15" thickBot="1">
      <c r="A13" s="80"/>
      <c r="C13" s="185" t="s">
        <v>394</v>
      </c>
      <c r="D13" s="224">
        <f t="shared" ref="D13:I13" si="11">SUM(D9:D12)</f>
        <v>374181.26841330086</v>
      </c>
      <c r="E13" s="224">
        <f t="shared" si="11"/>
        <v>316704.54470017808</v>
      </c>
      <c r="F13" s="224">
        <f t="shared" si="11"/>
        <v>946272.63380314573</v>
      </c>
      <c r="G13" s="40">
        <f t="shared" si="11"/>
        <v>419274.26130238554</v>
      </c>
      <c r="H13" s="40">
        <f t="shared" si="11"/>
        <v>447292.31433457125</v>
      </c>
      <c r="I13" s="40">
        <f t="shared" si="11"/>
        <v>476066.63675174193</v>
      </c>
      <c r="J13" s="40">
        <f t="shared" ref="J13:R13" si="12">I13*(1+J18)</f>
        <v>503807.30546487938</v>
      </c>
      <c r="K13" s="40">
        <f t="shared" si="12"/>
        <v>540721.54801361379</v>
      </c>
      <c r="L13" s="40">
        <f t="shared" si="12"/>
        <v>588451.34094344464</v>
      </c>
      <c r="M13" s="40">
        <f t="shared" si="12"/>
        <v>640394.26934289641</v>
      </c>
      <c r="N13" s="40">
        <f t="shared" si="12"/>
        <v>696922.22903208039</v>
      </c>
      <c r="O13" s="40">
        <f t="shared" si="12"/>
        <v>758439.94328277977</v>
      </c>
      <c r="P13" s="40">
        <f t="shared" si="12"/>
        <v>814011.2613666947</v>
      </c>
      <c r="Q13" s="40">
        <f t="shared" si="12"/>
        <v>861444.15203177242</v>
      </c>
      <c r="R13" s="40">
        <f t="shared" si="12"/>
        <v>898719.32143737096</v>
      </c>
      <c r="S13" s="236">
        <f>R13*(1+F20)/(F22-F20)</f>
        <v>46820394.153884627</v>
      </c>
      <c r="T13" s="80"/>
    </row>
    <row r="14" spans="1:20" hidden="1" outlineLevel="1">
      <c r="A14" s="80"/>
      <c r="C14" t="s">
        <v>395</v>
      </c>
      <c r="D14" s="129">
        <f>-DRS!E66</f>
        <v>-23170</v>
      </c>
      <c r="E14" s="129">
        <f>-DRS!F66</f>
        <v>-23170</v>
      </c>
      <c r="F14" s="129">
        <f>-DRS!G66</f>
        <v>-87170</v>
      </c>
      <c r="G14" s="33">
        <f>-DRS!H66</f>
        <v>-73870</v>
      </c>
      <c r="H14" s="33">
        <f>-DRS!I66</f>
        <v>-69940</v>
      </c>
      <c r="I14" s="33">
        <f>-DRS!J66</f>
        <v>-69940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80"/>
    </row>
    <row r="15" spans="1:20" ht="15" hidden="1" outlineLevel="1" thickBot="1">
      <c r="A15" s="80"/>
      <c r="C15" t="s">
        <v>396</v>
      </c>
      <c r="D15" s="129">
        <f>DRS!E62+DRS!E63</f>
        <v>-124626</v>
      </c>
      <c r="E15" s="129">
        <f>DRS!F62+DRS!F63</f>
        <v>342</v>
      </c>
      <c r="F15" s="129">
        <f>DRS!G62+DRS!G63</f>
        <v>837490</v>
      </c>
      <c r="G15" s="33">
        <f>DRS!H62+DRS!H63</f>
        <v>-281483.31120252045</v>
      </c>
      <c r="H15" s="33">
        <f>DRS!I62+DRS!I63</f>
        <v>-80423.80320072014</v>
      </c>
      <c r="I15" s="33">
        <f>DRS!J62+DRS!J63</f>
        <v>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80"/>
    </row>
    <row r="16" spans="1:20" hidden="1" outlineLevel="1">
      <c r="A16" s="80"/>
      <c r="C16" s="185" t="s">
        <v>397</v>
      </c>
      <c r="D16" s="224">
        <f t="shared" ref="D16:I16" si="13">SUM(D13:D15)</f>
        <v>226385.26841330086</v>
      </c>
      <c r="E16" s="224">
        <f t="shared" si="13"/>
        <v>293876.54470017808</v>
      </c>
      <c r="F16" s="224">
        <f t="shared" si="13"/>
        <v>1696592.6338031457</v>
      </c>
      <c r="G16" s="40">
        <f t="shared" si="13"/>
        <v>63920.950099865091</v>
      </c>
      <c r="H16" s="40">
        <f t="shared" si="13"/>
        <v>296928.51113385113</v>
      </c>
      <c r="I16" s="40">
        <f t="shared" si="13"/>
        <v>406126.63675174193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80"/>
    </row>
    <row r="17" spans="1:20" collapsed="1">
      <c r="A17" s="80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80"/>
    </row>
    <row r="18" spans="1:20">
      <c r="A18" s="80"/>
      <c r="D18" s="209">
        <f>'Revenue Driver'!G34</f>
        <v>0.11473590049749105</v>
      </c>
      <c r="E18" s="209">
        <f>'Revenue Driver'!H34</f>
        <v>7.3037274730336055E-2</v>
      </c>
      <c r="F18" s="209">
        <f>'Revenue Driver'!I34</f>
        <v>3.6949691442167865E-2</v>
      </c>
      <c r="G18" s="201">
        <f>'Revenue Driver'!J34</f>
        <v>4.2133342922456629E-2</v>
      </c>
      <c r="H18" s="201">
        <f>'Revenue Driver'!K34</f>
        <v>4.2726057175298759E-2</v>
      </c>
      <c r="I18" s="201">
        <f>'Revenue Driver'!L34</f>
        <v>4.3270558303382334E-2</v>
      </c>
      <c r="J18" s="201">
        <f t="shared" ref="J18:L18" si="14">I18+$F$20</f>
        <v>5.8270558303382333E-2</v>
      </c>
      <c r="K18" s="201">
        <f t="shared" si="14"/>
        <v>7.3270558303382333E-2</v>
      </c>
      <c r="L18" s="201">
        <f t="shared" si="14"/>
        <v>8.8270558303382332E-2</v>
      </c>
      <c r="M18" s="201">
        <f t="shared" ref="M18:O18" si="15">L18</f>
        <v>8.8270558303382332E-2</v>
      </c>
      <c r="N18" s="201">
        <f t="shared" si="15"/>
        <v>8.8270558303382332E-2</v>
      </c>
      <c r="O18" s="201">
        <f t="shared" si="15"/>
        <v>8.8270558303382332E-2</v>
      </c>
      <c r="P18" s="201">
        <f t="shared" ref="P18:R18" si="16">O18-$F$20</f>
        <v>7.3270558303382333E-2</v>
      </c>
      <c r="Q18" s="201">
        <f t="shared" si="16"/>
        <v>5.8270558303382333E-2</v>
      </c>
      <c r="R18" s="201">
        <f t="shared" si="16"/>
        <v>4.3270558303382334E-2</v>
      </c>
      <c r="S18" s="4"/>
      <c r="T18" s="80"/>
    </row>
    <row r="19" spans="1:20">
      <c r="A19" s="80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80"/>
    </row>
    <row r="20" spans="1:20">
      <c r="A20" s="80"/>
      <c r="C20" t="s">
        <v>399</v>
      </c>
      <c r="F20" s="233">
        <v>1.4999999999999999E-2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80"/>
    </row>
    <row r="21" spans="1:20">
      <c r="A21" s="80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80"/>
    </row>
    <row r="22" spans="1:20">
      <c r="A22" s="80"/>
      <c r="C22" t="s">
        <v>400</v>
      </c>
      <c r="F22" s="233">
        <f>WACC!I33</f>
        <v>3.4482965227947519E-2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80"/>
    </row>
    <row r="23" spans="1:20">
      <c r="A23" s="80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80"/>
    </row>
    <row r="24" spans="1:20">
      <c r="A24" s="80"/>
      <c r="C24" s="186" t="s">
        <v>401</v>
      </c>
      <c r="G24" s="4">
        <v>1</v>
      </c>
      <c r="H24" s="4">
        <f t="shared" ref="H24:R24" si="17">G24+1</f>
        <v>2</v>
      </c>
      <c r="I24" s="4">
        <f t="shared" si="17"/>
        <v>3</v>
      </c>
      <c r="J24" s="4">
        <f t="shared" si="17"/>
        <v>4</v>
      </c>
      <c r="K24" s="4">
        <f t="shared" si="17"/>
        <v>5</v>
      </c>
      <c r="L24" s="4">
        <f t="shared" si="17"/>
        <v>6</v>
      </c>
      <c r="M24" s="4">
        <f t="shared" si="17"/>
        <v>7</v>
      </c>
      <c r="N24" s="4">
        <f t="shared" si="17"/>
        <v>8</v>
      </c>
      <c r="O24" s="4">
        <f t="shared" si="17"/>
        <v>9</v>
      </c>
      <c r="P24" s="4">
        <f t="shared" si="17"/>
        <v>10</v>
      </c>
      <c r="Q24" s="4">
        <f t="shared" si="17"/>
        <v>11</v>
      </c>
      <c r="R24" s="4">
        <f t="shared" si="17"/>
        <v>12</v>
      </c>
      <c r="S24" s="4">
        <v>12</v>
      </c>
      <c r="T24" s="80"/>
    </row>
    <row r="25" spans="1:20">
      <c r="A25" s="80"/>
      <c r="D25" s="187"/>
      <c r="E25" s="187"/>
      <c r="F25" s="187"/>
      <c r="G25" s="235"/>
      <c r="H25" s="235"/>
      <c r="I25" s="235"/>
      <c r="J25" s="235"/>
      <c r="K25" s="235"/>
      <c r="L25" s="235"/>
      <c r="M25" s="235"/>
      <c r="N25" s="235"/>
      <c r="O25" s="235"/>
      <c r="P25" s="235"/>
      <c r="Q25" s="235"/>
      <c r="R25" s="235"/>
      <c r="S25" s="235"/>
      <c r="T25" s="80"/>
    </row>
    <row r="26" spans="1:20">
      <c r="A26" s="80"/>
      <c r="C26" s="6" t="s">
        <v>402</v>
      </c>
      <c r="G26" s="53">
        <f t="shared" ref="G26:R26" si="18">G13/(1+$F$22)^G24</f>
        <v>405298.3716459737</v>
      </c>
      <c r="H26" s="53">
        <f t="shared" si="18"/>
        <v>417969.65121853218</v>
      </c>
      <c r="I26" s="53">
        <f t="shared" si="18"/>
        <v>430028.97211142181</v>
      </c>
      <c r="J26" s="53">
        <f t="shared" si="18"/>
        <v>439917.34586243855</v>
      </c>
      <c r="K26" s="53">
        <f t="shared" si="18"/>
        <v>456411.8997330069</v>
      </c>
      <c r="L26" s="53">
        <f t="shared" si="18"/>
        <v>480142.88261315098</v>
      </c>
      <c r="M26" s="53">
        <f t="shared" si="18"/>
        <v>505107.74994895264</v>
      </c>
      <c r="N26" s="53">
        <f t="shared" si="18"/>
        <v>531370.6571467683</v>
      </c>
      <c r="O26" s="53">
        <f t="shared" si="18"/>
        <v>558999.09535168239</v>
      </c>
      <c r="P26" s="53">
        <f t="shared" si="18"/>
        <v>579958.57962434972</v>
      </c>
      <c r="Q26" s="53">
        <f t="shared" si="18"/>
        <v>593294.53503050876</v>
      </c>
      <c r="R26" s="53">
        <f t="shared" si="18"/>
        <v>598334.37727341964</v>
      </c>
      <c r="S26" s="53">
        <f>S13/(1+$F$22)^S24</f>
        <v>31171301.997776005</v>
      </c>
      <c r="T26" s="80"/>
    </row>
    <row r="27" spans="1:20">
      <c r="A27" s="80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80"/>
    </row>
    <row r="28" spans="1:20">
      <c r="A28" s="80"/>
      <c r="C28" s="187" t="s">
        <v>403</v>
      </c>
      <c r="D28" s="187"/>
      <c r="E28" s="187"/>
      <c r="F28" s="187"/>
      <c r="G28" s="40">
        <f>SUM(G26:S26)</f>
        <v>37168136.11533621</v>
      </c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80"/>
    </row>
    <row r="29" spans="1:20">
      <c r="A29" s="80"/>
      <c r="C29" s="188" t="s">
        <v>404</v>
      </c>
      <c r="G29" s="33">
        <f>-('Balance Sheet'!G30+'Balance Sheet'!G31+'Balance Sheet'!G38+'Balance Sheet'!G43+'Balance Sheet'!G44+'Balance Sheet'!G45)</f>
        <v>-1906998</v>
      </c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80"/>
    </row>
    <row r="30" spans="1:20">
      <c r="A30" s="80"/>
      <c r="C30" s="188" t="s">
        <v>405</v>
      </c>
      <c r="G30" s="4">
        <v>0</v>
      </c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80"/>
    </row>
    <row r="31" spans="1:20">
      <c r="A31" s="80"/>
      <c r="C31" s="188" t="s">
        <v>406</v>
      </c>
      <c r="G31" s="4">
        <v>0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80"/>
    </row>
    <row r="32" spans="1:20">
      <c r="A32" s="80"/>
      <c r="C32" s="188" t="s">
        <v>407</v>
      </c>
      <c r="G32" s="33">
        <f>'Balance Sheet'!G10</f>
        <v>301210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80"/>
    </row>
    <row r="33" spans="1:20">
      <c r="A33" s="80"/>
      <c r="C33" s="188" t="s">
        <v>408</v>
      </c>
      <c r="G33" s="33">
        <f>'Balance Sheet'!G9</f>
        <v>1135824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80"/>
    </row>
    <row r="34" spans="1:20">
      <c r="A34" s="80"/>
      <c r="C34" s="184" t="s">
        <v>409</v>
      </c>
      <c r="D34" s="187"/>
      <c r="E34" s="187"/>
      <c r="F34" s="187"/>
      <c r="G34" s="40">
        <f>SUM(G28:G33)</f>
        <v>36698172.11533621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80"/>
    </row>
    <row r="35" spans="1:20">
      <c r="A35" s="80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80"/>
    </row>
    <row r="36" spans="1:20">
      <c r="A36" s="80"/>
      <c r="C36" t="s">
        <v>502</v>
      </c>
      <c r="G36" s="33">
        <f>'Income Statement'!G36</f>
        <v>100710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80"/>
    </row>
    <row r="37" spans="1:20">
      <c r="A37" s="80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80"/>
    </row>
    <row r="38" spans="1:20">
      <c r="A38" s="80"/>
      <c r="C38" s="6" t="s">
        <v>410</v>
      </c>
      <c r="F38" s="172" t="s">
        <v>477</v>
      </c>
      <c r="G38" s="259">
        <f>G34/G36</f>
        <v>364.39452006092949</v>
      </c>
      <c r="H38" s="177">
        <f>G38/G40-1</f>
        <v>2.0162612371569364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80"/>
    </row>
    <row r="39" spans="1:20">
      <c r="A39" s="80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80"/>
    </row>
    <row r="40" spans="1:20">
      <c r="A40" s="80"/>
      <c r="F40" s="172" t="s">
        <v>478</v>
      </c>
      <c r="G40" s="259">
        <v>120.81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80"/>
    </row>
    <row r="41" spans="1:20">
      <c r="A41" s="80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80"/>
    </row>
    <row r="42" spans="1:20">
      <c r="A42" s="80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80"/>
    </row>
    <row r="43" spans="1:20" ht="15.6">
      <c r="A43" s="80"/>
      <c r="G43" s="4"/>
      <c r="H43" s="4"/>
      <c r="I43" s="270" t="s">
        <v>481</v>
      </c>
      <c r="J43" s="270"/>
      <c r="K43" s="270"/>
      <c r="L43" s="270"/>
      <c r="M43" s="4"/>
      <c r="N43" s="4"/>
      <c r="O43" s="4"/>
      <c r="P43" s="4"/>
      <c r="Q43" s="4"/>
      <c r="R43" s="4"/>
      <c r="S43" s="4"/>
      <c r="T43" s="80"/>
    </row>
    <row r="44" spans="1:20">
      <c r="A44" s="80"/>
      <c r="G44" s="271" t="s">
        <v>482</v>
      </c>
      <c r="H44" s="272" t="s">
        <v>400</v>
      </c>
      <c r="I44" s="272"/>
      <c r="J44" s="272"/>
      <c r="K44" s="272"/>
      <c r="L44" s="272"/>
      <c r="M44" s="272"/>
      <c r="N44" s="4"/>
      <c r="O44" s="4"/>
      <c r="P44" s="4"/>
      <c r="Q44" s="4"/>
      <c r="R44" s="4"/>
      <c r="S44" s="4"/>
      <c r="T44" s="80"/>
    </row>
    <row r="45" spans="1:20">
      <c r="A45" s="80"/>
      <c r="G45" s="271"/>
      <c r="H45" s="237">
        <f>G38</f>
        <v>364.39452006092949</v>
      </c>
      <c r="I45" s="238">
        <v>2.4482965227947517E-2</v>
      </c>
      <c r="J45" s="238">
        <v>2.9482965227947518E-2</v>
      </c>
      <c r="K45" s="239">
        <v>3.4482965227947519E-2</v>
      </c>
      <c r="L45" s="238">
        <v>3.9482965227947517E-2</v>
      </c>
      <c r="M45" s="238">
        <v>4.4482965227947514E-2</v>
      </c>
      <c r="N45" s="4"/>
      <c r="O45" s="4"/>
      <c r="P45" s="4"/>
      <c r="Q45" s="4"/>
      <c r="R45" s="4"/>
      <c r="S45" s="4"/>
      <c r="T45" s="80"/>
    </row>
    <row r="46" spans="1:20">
      <c r="A46" s="80"/>
      <c r="G46" s="271"/>
      <c r="H46" s="239">
        <v>1.0999999999999999E-2</v>
      </c>
      <c r="I46" s="240">
        <f t="dataTable" ref="I46:M50" dt2D="1" dtr="1" r1="F22" r2="F20"/>
        <v>525.08212271315529</v>
      </c>
      <c r="J46" s="240">
        <v>376.99712017108209</v>
      </c>
      <c r="K46" s="240">
        <v>292.12599967433022</v>
      </c>
      <c r="L46" s="240">
        <v>237.17226892826829</v>
      </c>
      <c r="M46" s="240">
        <v>198.72833868546849</v>
      </c>
      <c r="N46" s="4"/>
      <c r="O46" s="4"/>
      <c r="P46" s="4"/>
      <c r="Q46" s="4"/>
      <c r="R46" s="4"/>
      <c r="S46" s="4"/>
      <c r="T46" s="80"/>
    </row>
    <row r="47" spans="1:20">
      <c r="A47" s="80"/>
      <c r="G47" s="271"/>
      <c r="H47" s="239">
        <v>1.2999999999999999E-2</v>
      </c>
      <c r="I47" s="240">
        <v>627.56775362946144</v>
      </c>
      <c r="J47" s="241">
        <v>430.16744350901365</v>
      </c>
      <c r="K47" s="241">
        <v>324.82942244861198</v>
      </c>
      <c r="L47" s="241">
        <v>259.40256502250764</v>
      </c>
      <c r="M47" s="240">
        <v>214.86580442100151</v>
      </c>
      <c r="N47" s="4"/>
      <c r="O47" s="4"/>
      <c r="P47" s="4"/>
      <c r="Q47" s="4"/>
      <c r="R47" s="4"/>
      <c r="S47" s="4"/>
      <c r="T47" s="80"/>
    </row>
    <row r="48" spans="1:20">
      <c r="A48" s="80"/>
      <c r="G48" s="271"/>
      <c r="H48" s="239">
        <v>1.4999999999999999E-2</v>
      </c>
      <c r="I48" s="240">
        <v>773.60680733550657</v>
      </c>
      <c r="J48" s="241">
        <v>498.22780818755672</v>
      </c>
      <c r="K48" s="242">
        <v>364.39452006092949</v>
      </c>
      <c r="L48" s="241">
        <v>285.37825584088711</v>
      </c>
      <c r="M48" s="240">
        <v>233.28376263987298</v>
      </c>
      <c r="N48" s="4"/>
      <c r="O48" s="4"/>
      <c r="P48" s="4"/>
      <c r="Q48" s="4"/>
      <c r="R48" s="4"/>
      <c r="S48" s="4"/>
      <c r="T48" s="80"/>
    </row>
    <row r="49" spans="1:20">
      <c r="A49" s="80"/>
      <c r="G49" s="271"/>
      <c r="H49" s="239">
        <v>1.7000000000000001E-2</v>
      </c>
      <c r="I49" s="240">
        <v>998.12741212589572</v>
      </c>
      <c r="J49" s="241">
        <v>588.33872035708191</v>
      </c>
      <c r="K49" s="241">
        <v>413.17860749749929</v>
      </c>
      <c r="L49" s="241">
        <v>316.10071807919985</v>
      </c>
      <c r="M49" s="240">
        <v>254.48155109092471</v>
      </c>
      <c r="N49" s="4"/>
      <c r="O49" s="4"/>
      <c r="P49" s="4"/>
      <c r="Q49" s="4"/>
      <c r="R49" s="4"/>
      <c r="S49" s="4"/>
      <c r="T49" s="80"/>
    </row>
    <row r="50" spans="1:20">
      <c r="A50" s="80"/>
      <c r="G50" s="271"/>
      <c r="H50" s="239">
        <v>1.9000000000000003E-2</v>
      </c>
      <c r="I50" s="240">
        <v>1387.020117930098</v>
      </c>
      <c r="J50" s="240">
        <v>713.12519111100687</v>
      </c>
      <c r="K50" s="240">
        <v>474.75702816843727</v>
      </c>
      <c r="L50" s="240">
        <v>352.96244320515746</v>
      </c>
      <c r="M50" s="240">
        <v>279.115274316973</v>
      </c>
      <c r="N50" s="4"/>
      <c r="O50" s="4"/>
      <c r="P50" s="4"/>
      <c r="Q50" s="4"/>
      <c r="R50" s="4"/>
      <c r="S50" s="4"/>
      <c r="T50" s="80"/>
    </row>
    <row r="51" spans="1:20">
      <c r="A51" s="80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80"/>
    </row>
    <row r="52" spans="1:20">
      <c r="A52" s="80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80"/>
    </row>
    <row r="53" spans="1:20">
      <c r="A53" s="80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80"/>
    </row>
    <row r="54" spans="1:20">
      <c r="A54" s="80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80"/>
    </row>
    <row r="55" spans="1:20">
      <c r="A55" s="80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80"/>
    </row>
    <row r="56" spans="1:20">
      <c r="A56" s="80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80"/>
    </row>
    <row r="57" spans="1:20">
      <c r="A57" s="80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80"/>
    </row>
    <row r="58" spans="1:20">
      <c r="A58" s="80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80"/>
    </row>
    <row r="59" spans="1:20">
      <c r="A59" s="80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80"/>
    </row>
    <row r="60" spans="1:20">
      <c r="A60" s="80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80"/>
    </row>
    <row r="61" spans="1:20">
      <c r="A61" s="80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80"/>
    </row>
    <row r="62" spans="1:20">
      <c r="A62" s="80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80"/>
    </row>
    <row r="63" spans="1:20">
      <c r="A63" s="80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80"/>
    </row>
    <row r="64" spans="1:20">
      <c r="A64" s="80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80"/>
    </row>
    <row r="65" spans="1:20">
      <c r="A65" s="80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80"/>
    </row>
    <row r="66" spans="1:20">
      <c r="A66" s="80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80"/>
    </row>
    <row r="67" spans="1:20">
      <c r="A67" s="80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80"/>
    </row>
    <row r="68" spans="1:20">
      <c r="A68" s="80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80"/>
    </row>
    <row r="69" spans="1:20">
      <c r="A69" s="80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80"/>
    </row>
    <row r="70" spans="1:20">
      <c r="A70" s="80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80"/>
    </row>
    <row r="71" spans="1:20">
      <c r="A71" s="80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80"/>
    </row>
    <row r="72" spans="1:20">
      <c r="A72" s="80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80"/>
    </row>
    <row r="73" spans="1:20">
      <c r="A73" s="80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80"/>
    </row>
    <row r="74" spans="1:20">
      <c r="A74" s="80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80"/>
    </row>
    <row r="75" spans="1:20">
      <c r="A75" s="80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80"/>
    </row>
    <row r="76" spans="1:20">
      <c r="A76" s="80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80"/>
    </row>
    <row r="77" spans="1:20">
      <c r="A77" s="80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80"/>
    </row>
    <row r="78" spans="1:20">
      <c r="A78" s="80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80"/>
    </row>
    <row r="79" spans="1:20">
      <c r="A79" s="80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80"/>
    </row>
    <row r="80" spans="1:20">
      <c r="A80" s="80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80"/>
    </row>
    <row r="81" spans="1:20">
      <c r="A81" s="80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80"/>
    </row>
    <row r="82" spans="1:20">
      <c r="A82" s="80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80"/>
    </row>
    <row r="83" spans="1:20">
      <c r="A83" s="80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80"/>
    </row>
    <row r="84" spans="1:20">
      <c r="A84" s="80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80"/>
    </row>
    <row r="85" spans="1:20">
      <c r="A85" s="80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80"/>
    </row>
    <row r="86" spans="1:20">
      <c r="A86" s="80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80"/>
    </row>
    <row r="87" spans="1:20">
      <c r="A87" s="80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80"/>
    </row>
    <row r="88" spans="1:20">
      <c r="A88" s="80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80"/>
    </row>
    <row r="89" spans="1:20">
      <c r="A89" s="80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80"/>
    </row>
    <row r="90" spans="1:20">
      <c r="A90" s="80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80"/>
    </row>
    <row r="91" spans="1:20">
      <c r="A91" s="80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80"/>
    </row>
    <row r="92" spans="1:20">
      <c r="A92" s="80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80"/>
    </row>
    <row r="93" spans="1:20">
      <c r="A93" s="80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80"/>
    </row>
    <row r="94" spans="1:20">
      <c r="A94" s="80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80"/>
    </row>
    <row r="95" spans="1:20">
      <c r="A95" s="80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80"/>
    </row>
    <row r="96" spans="1:20">
      <c r="A96" s="80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80"/>
    </row>
    <row r="97" spans="1:20">
      <c r="A97" s="80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80"/>
    </row>
    <row r="98" spans="1:20">
      <c r="A98" s="80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80"/>
    </row>
    <row r="99" spans="1:20">
      <c r="A99" s="80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80"/>
    </row>
    <row r="100" spans="1:20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  <c r="M100" s="80"/>
      <c r="N100" s="80"/>
      <c r="O100" s="80"/>
      <c r="P100" s="80"/>
      <c r="Q100" s="80"/>
      <c r="R100" s="80"/>
      <c r="S100" s="80"/>
      <c r="T100" s="80"/>
    </row>
  </sheetData>
  <mergeCells count="11">
    <mergeCell ref="I43:L43"/>
    <mergeCell ref="G44:G50"/>
    <mergeCell ref="H44:M44"/>
    <mergeCell ref="B4:C4"/>
    <mergeCell ref="P3:R3"/>
    <mergeCell ref="M3:O3"/>
    <mergeCell ref="B2:C2"/>
    <mergeCell ref="B3:C3"/>
    <mergeCell ref="D3:F3"/>
    <mergeCell ref="G3:I3"/>
    <mergeCell ref="J3:L3"/>
  </mergeCells>
  <pageMargins left="0.7" right="0.7" top="0.75" bottom="0.75" header="0.3" footer="0.3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74A4E-B862-4D52-AE35-A68D6EB5DDA1}">
  <dimension ref="A1:M100"/>
  <sheetViews>
    <sheetView showGridLines="0" topLeftCell="A4" zoomScale="95" zoomScaleNormal="95" workbookViewId="0">
      <selection activeCell="C6" sqref="C6:I12"/>
    </sheetView>
  </sheetViews>
  <sheetFormatPr defaultColWidth="0" defaultRowHeight="14.4"/>
  <cols>
    <col min="1" max="2" width="3.77734375" customWidth="1"/>
    <col min="3" max="3" width="50.77734375" customWidth="1"/>
    <col min="4" max="4" width="11.6640625" bestFit="1" customWidth="1"/>
    <col min="5" max="5" width="22.21875" bestFit="1" customWidth="1"/>
    <col min="6" max="6" width="12.44140625" bestFit="1" customWidth="1"/>
    <col min="7" max="7" width="13.77734375" customWidth="1"/>
    <col min="8" max="8" width="11.6640625" bestFit="1" customWidth="1"/>
    <col min="9" max="9" width="26.21875" bestFit="1" customWidth="1"/>
    <col min="10" max="10" width="13.6640625" bestFit="1" customWidth="1"/>
    <col min="11" max="11" width="11.6640625" customWidth="1"/>
    <col min="12" max="12" width="3.77734375" customWidth="1"/>
    <col min="13" max="13" width="3.77734375" hidden="1" customWidth="1"/>
    <col min="14" max="16384" width="8.88671875" hidden="1"/>
  </cols>
  <sheetData>
    <row r="1" spans="1:12">
      <c r="A1" s="80"/>
      <c r="B1" s="80"/>
      <c r="C1" s="80"/>
      <c r="D1" s="80"/>
      <c r="E1" s="80"/>
      <c r="F1" s="80"/>
      <c r="G1" s="80"/>
      <c r="H1" s="80"/>
      <c r="I1" s="80"/>
      <c r="J1" s="80"/>
      <c r="K1" s="80"/>
      <c r="L1" s="80"/>
    </row>
    <row r="2" spans="1:12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78"/>
      <c r="K2" s="78"/>
      <c r="L2" s="80"/>
    </row>
    <row r="3" spans="1:12">
      <c r="A3" s="80"/>
      <c r="B3" s="267" t="s">
        <v>415</v>
      </c>
      <c r="C3" s="267"/>
      <c r="D3" s="268"/>
      <c r="E3" s="268"/>
      <c r="F3" s="268"/>
      <c r="G3" s="268"/>
      <c r="H3" s="268"/>
      <c r="I3" s="268"/>
      <c r="J3" s="81"/>
      <c r="K3" s="81"/>
      <c r="L3" s="80"/>
    </row>
    <row r="4" spans="1:12">
      <c r="A4" s="80"/>
      <c r="B4" s="267" t="str">
        <f>currency</f>
        <v>in thousands, except per share data</v>
      </c>
      <c r="C4" s="267"/>
      <c r="D4" s="79"/>
      <c r="E4" s="79"/>
      <c r="F4" s="79"/>
      <c r="G4" s="79"/>
      <c r="H4" s="79"/>
      <c r="I4" s="79"/>
      <c r="J4" s="79"/>
      <c r="K4" s="79"/>
      <c r="L4" s="80"/>
    </row>
    <row r="5" spans="1:12">
      <c r="A5" s="80"/>
      <c r="L5" s="80"/>
    </row>
    <row r="6" spans="1:12">
      <c r="A6" s="80"/>
      <c r="C6" s="282" t="s">
        <v>262</v>
      </c>
      <c r="D6" s="280" t="s">
        <v>411</v>
      </c>
      <c r="E6" s="280"/>
      <c r="F6" s="280" t="s">
        <v>412</v>
      </c>
      <c r="G6" s="280"/>
      <c r="H6" s="280" t="s">
        <v>359</v>
      </c>
      <c r="I6" s="280"/>
      <c r="L6" s="80"/>
    </row>
    <row r="7" spans="1:12">
      <c r="A7" s="80"/>
      <c r="C7" s="282"/>
      <c r="D7" s="189" t="s">
        <v>413</v>
      </c>
      <c r="E7" s="189" t="s">
        <v>414</v>
      </c>
      <c r="F7" s="189" t="s">
        <v>413</v>
      </c>
      <c r="G7" s="189" t="s">
        <v>414</v>
      </c>
      <c r="H7" s="189" t="s">
        <v>413</v>
      </c>
      <c r="I7" s="189" t="s">
        <v>414</v>
      </c>
      <c r="L7" s="80"/>
    </row>
    <row r="8" spans="1:12">
      <c r="A8" s="80"/>
      <c r="C8" s="190" t="s">
        <v>273</v>
      </c>
      <c r="D8" s="191">
        <v>18.02</v>
      </c>
      <c r="E8" s="191">
        <v>18.03</v>
      </c>
      <c r="F8" s="191">
        <v>8.5500000000000007</v>
      </c>
      <c r="G8" s="191">
        <v>8.3000000000000007</v>
      </c>
      <c r="H8" s="191">
        <v>10.7</v>
      </c>
      <c r="I8" s="191">
        <v>9.9</v>
      </c>
      <c r="L8" s="80"/>
    </row>
    <row r="9" spans="1:12">
      <c r="A9" s="80"/>
      <c r="C9" s="118" t="s">
        <v>275</v>
      </c>
      <c r="D9" s="192">
        <v>28.91</v>
      </c>
      <c r="E9" s="192">
        <v>27.14</v>
      </c>
      <c r="F9" s="192">
        <v>7.54</v>
      </c>
      <c r="G9" s="192">
        <v>7.77</v>
      </c>
      <c r="H9" s="192">
        <v>19.03</v>
      </c>
      <c r="I9" s="192">
        <v>18.239999999999998</v>
      </c>
      <c r="L9" s="80"/>
    </row>
    <row r="10" spans="1:12">
      <c r="A10" s="80"/>
      <c r="C10" s="118" t="s">
        <v>276</v>
      </c>
      <c r="D10" s="192">
        <v>17.54</v>
      </c>
      <c r="E10" s="192">
        <v>18.079999999999998</v>
      </c>
      <c r="F10" s="192">
        <v>10.72</v>
      </c>
      <c r="G10" s="192">
        <v>11.41</v>
      </c>
      <c r="H10" s="192">
        <v>15.1</v>
      </c>
      <c r="I10" s="192">
        <v>14.48</v>
      </c>
      <c r="L10" s="80"/>
    </row>
    <row r="11" spans="1:12">
      <c r="A11" s="80"/>
      <c r="C11" s="118" t="s">
        <v>277</v>
      </c>
      <c r="D11" s="192">
        <v>17.059999999999999</v>
      </c>
      <c r="E11" s="192">
        <v>22.42</v>
      </c>
      <c r="F11" s="192">
        <v>-21.2</v>
      </c>
      <c r="G11" s="192">
        <v>6.42</v>
      </c>
      <c r="H11" s="192">
        <v>15.35</v>
      </c>
      <c r="I11" s="192">
        <v>18.32</v>
      </c>
      <c r="L11" s="80"/>
    </row>
    <row r="12" spans="1:12">
      <c r="A12" s="80"/>
      <c r="C12" s="134" t="s">
        <v>278</v>
      </c>
      <c r="D12" s="192">
        <v>9.8699999999999992</v>
      </c>
      <c r="E12" s="192">
        <v>11.3</v>
      </c>
      <c r="F12" s="192">
        <v>-32.28</v>
      </c>
      <c r="G12" s="192">
        <v>-34.450000000000003</v>
      </c>
      <c r="H12" s="192">
        <v>7.4</v>
      </c>
      <c r="I12" s="192">
        <v>8.16</v>
      </c>
      <c r="L12" s="80"/>
    </row>
    <row r="13" spans="1:12">
      <c r="A13" s="80"/>
      <c r="C13" s="193" t="s">
        <v>271</v>
      </c>
      <c r="D13" s="194">
        <f t="shared" ref="D13:I13" si="0">AVERAGE(D8:D12)</f>
        <v>18.28</v>
      </c>
      <c r="E13" s="194">
        <f t="shared" si="0"/>
        <v>19.393999999999998</v>
      </c>
      <c r="F13" s="194">
        <f t="shared" si="0"/>
        <v>-5.3339999999999996</v>
      </c>
      <c r="G13" s="194">
        <f t="shared" si="0"/>
        <v>-0.11000000000000085</v>
      </c>
      <c r="H13" s="194">
        <f t="shared" si="0"/>
        <v>13.516</v>
      </c>
      <c r="I13" s="195">
        <f t="shared" si="0"/>
        <v>13.820000000000002</v>
      </c>
      <c r="L13" s="80"/>
    </row>
    <row r="14" spans="1:12" ht="15" thickBot="1">
      <c r="A14" s="80"/>
      <c r="C14" s="196" t="s">
        <v>272</v>
      </c>
      <c r="D14" s="197">
        <f t="shared" ref="D14:I14" si="1">MEDIAN(D8:D12)</f>
        <v>17.54</v>
      </c>
      <c r="E14" s="197">
        <f t="shared" si="1"/>
        <v>18.079999999999998</v>
      </c>
      <c r="F14" s="197">
        <f t="shared" si="1"/>
        <v>7.54</v>
      </c>
      <c r="G14" s="197">
        <f t="shared" si="1"/>
        <v>7.77</v>
      </c>
      <c r="H14" s="197">
        <f t="shared" si="1"/>
        <v>15.1</v>
      </c>
      <c r="I14" s="198">
        <f t="shared" si="1"/>
        <v>14.48</v>
      </c>
      <c r="L14" s="80"/>
    </row>
    <row r="15" spans="1:12">
      <c r="A15" s="80"/>
      <c r="L15" s="80"/>
    </row>
    <row r="16" spans="1:12">
      <c r="A16" s="80"/>
      <c r="C16" s="257" t="s">
        <v>494</v>
      </c>
      <c r="L16" s="80"/>
    </row>
    <row r="17" spans="1:12">
      <c r="A17" s="80"/>
      <c r="E17" s="243" t="s">
        <v>483</v>
      </c>
      <c r="F17" s="244" t="s">
        <v>500</v>
      </c>
      <c r="G17" s="243" t="s">
        <v>346</v>
      </c>
      <c r="H17" s="122"/>
      <c r="L17" s="80"/>
    </row>
    <row r="18" spans="1:12">
      <c r="A18" s="80"/>
      <c r="C18" s="281" t="s">
        <v>411</v>
      </c>
      <c r="D18" s="245" t="s">
        <v>413</v>
      </c>
      <c r="E18" s="118">
        <f>IF(C16="Mean",D13,D14)</f>
        <v>18.28</v>
      </c>
      <c r="F18" s="246">
        <f>'Income Statement'!F29</f>
        <v>6.2866150332638266</v>
      </c>
      <c r="G18" s="247">
        <f>E18*F18</f>
        <v>114.91932280806276</v>
      </c>
      <c r="H18" s="122"/>
      <c r="L18" s="80"/>
    </row>
    <row r="19" spans="1:12">
      <c r="A19" s="80"/>
      <c r="C19" s="281"/>
      <c r="D19" s="245" t="s">
        <v>414</v>
      </c>
      <c r="E19" s="140">
        <f>IF(C16="Mean",E13,E14)</f>
        <v>19.393999999999998</v>
      </c>
      <c r="F19" s="246">
        <f>'Income Statement'!G29</f>
        <v>5.5929407090330558</v>
      </c>
      <c r="G19" s="247">
        <f>E19*F19</f>
        <v>108.46949211098708</v>
      </c>
      <c r="H19" s="122"/>
      <c r="L19" s="80"/>
    </row>
    <row r="20" spans="1:12">
      <c r="A20" s="80"/>
      <c r="F20" s="122"/>
      <c r="H20" s="122"/>
      <c r="L20" s="80"/>
    </row>
    <row r="21" spans="1:12">
      <c r="A21" s="80"/>
      <c r="E21" s="243" t="s">
        <v>484</v>
      </c>
      <c r="F21" s="244" t="s">
        <v>501</v>
      </c>
      <c r="G21" s="243" t="s">
        <v>346</v>
      </c>
      <c r="L21" s="80"/>
    </row>
    <row r="22" spans="1:12">
      <c r="A22" s="80"/>
      <c r="C22" s="281" t="s">
        <v>412</v>
      </c>
      <c r="D22" s="245" t="s">
        <v>413</v>
      </c>
      <c r="E22" s="140">
        <f>IF(C16="Mean",F13,F14)</f>
        <v>-5.3339999999999996</v>
      </c>
      <c r="F22" s="246">
        <f>'Balance Sheet'!G60/'Income Statement'!F36</f>
        <v>14.076169198689305</v>
      </c>
      <c r="G22" s="247">
        <f>E22*F22</f>
        <v>-75.082286505808753</v>
      </c>
      <c r="L22" s="80"/>
    </row>
    <row r="23" spans="1:12">
      <c r="A23" s="80"/>
      <c r="C23" s="281"/>
      <c r="D23" s="245" t="s">
        <v>414</v>
      </c>
      <c r="E23" s="140">
        <f>IF(C16="Mean",G13,G14)</f>
        <v>-0.11000000000000085</v>
      </c>
      <c r="F23" s="246">
        <f>'Balance Sheet'!H60/'Income Statement'!G36</f>
        <v>19.669109907722362</v>
      </c>
      <c r="G23" s="247">
        <f>E23*F23</f>
        <v>-2.1636020898494763</v>
      </c>
      <c r="L23" s="80"/>
    </row>
    <row r="24" spans="1:12">
      <c r="A24" s="80"/>
      <c r="L24" s="80"/>
    </row>
    <row r="25" spans="1:12">
      <c r="A25" s="80"/>
      <c r="E25" s="243" t="s">
        <v>485</v>
      </c>
      <c r="F25" s="244" t="s">
        <v>362</v>
      </c>
      <c r="G25" s="243" t="s">
        <v>486</v>
      </c>
      <c r="H25" s="243" t="s">
        <v>487</v>
      </c>
      <c r="I25" s="243" t="s">
        <v>488</v>
      </c>
      <c r="J25" s="243" t="s">
        <v>346</v>
      </c>
      <c r="L25" s="80"/>
    </row>
    <row r="26" spans="1:12">
      <c r="A26" s="80"/>
      <c r="C26" s="281" t="s">
        <v>359</v>
      </c>
      <c r="D26" s="245" t="s">
        <v>413</v>
      </c>
      <c r="E26" s="140">
        <f>IF(C16="Mean",H13,H14)</f>
        <v>13.516</v>
      </c>
      <c r="F26" s="248">
        <f>'Income Statement'!F11+'Cash Flow Statement'!F10</f>
        <v>1090693</v>
      </c>
      <c r="G26" s="137">
        <f>E26*F26</f>
        <v>14741806.588</v>
      </c>
      <c r="H26" s="137">
        <f>G26-'Balance Sheet'!G30-'Balance Sheet'!G31-'Balance Sheet'!G38-'Balance Sheet'!G43-'Balance Sheet'!G44-'Balance Sheet'!G45+'Balance Sheet'!G9+'Balance Sheet'!G10</f>
        <v>14271842.588</v>
      </c>
      <c r="I26" s="249">
        <f>'Income Statement'!F36</f>
        <v>100710</v>
      </c>
      <c r="J26" s="247">
        <f>H26/I26</f>
        <v>141.71226877172077</v>
      </c>
      <c r="L26" s="80"/>
    </row>
    <row r="27" spans="1:12">
      <c r="A27" s="80"/>
      <c r="C27" s="281"/>
      <c r="D27" s="245" t="s">
        <v>414</v>
      </c>
      <c r="E27" s="140">
        <f>IF(C16="Mean",I13,I14)</f>
        <v>13.820000000000002</v>
      </c>
      <c r="F27" s="248">
        <f>'Income Statement'!G11+'Cash Flow Statement'!G10</f>
        <v>978714.27671562077</v>
      </c>
      <c r="G27" s="137">
        <f>E27*F27</f>
        <v>13525831.304209881</v>
      </c>
      <c r="H27" s="137">
        <f>G27-'Balance Sheet'!H30-'Balance Sheet'!H31-'Balance Sheet'!H38-'Balance Sheet'!H43-'Balance Sheet'!H44-'Balance Sheet'!H45+'Balance Sheet'!H9+'Balance Sheet'!H10</f>
        <v>13339455.411092557</v>
      </c>
      <c r="I27" s="249">
        <f>'Income Statement'!G36</f>
        <v>100710</v>
      </c>
      <c r="J27" s="247">
        <f>H27/I27</f>
        <v>132.45412978942068</v>
      </c>
      <c r="L27" s="80"/>
    </row>
    <row r="28" spans="1:12">
      <c r="A28" s="80"/>
      <c r="L28" s="80"/>
    </row>
    <row r="29" spans="1:12">
      <c r="A29" s="80"/>
      <c r="D29" s="250" t="s">
        <v>414</v>
      </c>
      <c r="E29" s="250" t="s">
        <v>293</v>
      </c>
      <c r="F29" s="250" t="s">
        <v>489</v>
      </c>
      <c r="L29" s="80"/>
    </row>
    <row r="30" spans="1:12">
      <c r="A30" s="80"/>
      <c r="C30" s="251" t="s">
        <v>490</v>
      </c>
      <c r="D30" s="140">
        <f>G19</f>
        <v>108.46949211098708</v>
      </c>
      <c r="E30" s="138">
        <v>0.25</v>
      </c>
      <c r="F30" s="140">
        <f>D30*E30</f>
        <v>27.117373027746769</v>
      </c>
      <c r="L30" s="80"/>
    </row>
    <row r="31" spans="1:12">
      <c r="A31" s="80"/>
      <c r="C31" s="251" t="s">
        <v>491</v>
      </c>
      <c r="D31" s="140">
        <f>G23</f>
        <v>-2.1636020898494763</v>
      </c>
      <c r="E31" s="138">
        <v>0.25</v>
      </c>
      <c r="F31" s="140">
        <f t="shared" ref="F31:F33" si="2">D31*E31</f>
        <v>-0.54090052246236908</v>
      </c>
      <c r="L31" s="80"/>
    </row>
    <row r="32" spans="1:12">
      <c r="A32" s="80"/>
      <c r="C32" s="251" t="s">
        <v>492</v>
      </c>
      <c r="D32" s="140">
        <f>J27</f>
        <v>132.45412978942068</v>
      </c>
      <c r="E32" s="138">
        <v>0.25</v>
      </c>
      <c r="F32" s="140">
        <f t="shared" si="2"/>
        <v>33.113532447355169</v>
      </c>
      <c r="L32" s="80"/>
    </row>
    <row r="33" spans="1:12">
      <c r="A33" s="80"/>
      <c r="C33" s="251" t="s">
        <v>493</v>
      </c>
      <c r="D33" s="140">
        <f>DCF!G38</f>
        <v>364.39452006092949</v>
      </c>
      <c r="E33" s="138">
        <v>0.25</v>
      </c>
      <c r="F33" s="140">
        <f t="shared" si="2"/>
        <v>91.098630015232374</v>
      </c>
      <c r="L33" s="80"/>
    </row>
    <row r="34" spans="1:12" ht="15.6">
      <c r="A34" s="80"/>
      <c r="E34" s="252">
        <f>SUM(E30:E33)</f>
        <v>1</v>
      </c>
      <c r="F34" s="253">
        <f>SUM(F30:F33)</f>
        <v>150.78863496787193</v>
      </c>
      <c r="G34" s="254">
        <f>F34/F36-1</f>
        <v>0.24814696604479702</v>
      </c>
      <c r="L34" s="80"/>
    </row>
    <row r="35" spans="1:12">
      <c r="A35" s="80"/>
      <c r="L35" s="80"/>
    </row>
    <row r="36" spans="1:12">
      <c r="A36" s="80"/>
      <c r="C36" s="255" t="s">
        <v>478</v>
      </c>
      <c r="D36" s="173"/>
      <c r="E36" s="173"/>
      <c r="F36" s="256">
        <v>120.81</v>
      </c>
      <c r="L36" s="80"/>
    </row>
    <row r="37" spans="1:12">
      <c r="A37" s="80"/>
      <c r="L37" s="80"/>
    </row>
    <row r="38" spans="1:12">
      <c r="A38" s="80"/>
      <c r="L38" s="80"/>
    </row>
    <row r="39" spans="1:12">
      <c r="A39" s="80"/>
      <c r="L39" s="80"/>
    </row>
    <row r="40" spans="1:12">
      <c r="A40" s="80"/>
      <c r="L40" s="80"/>
    </row>
    <row r="41" spans="1:12">
      <c r="A41" s="80"/>
      <c r="L41" s="80"/>
    </row>
    <row r="42" spans="1:12">
      <c r="A42" s="80"/>
      <c r="L42" s="80"/>
    </row>
    <row r="43" spans="1:12">
      <c r="A43" s="80"/>
      <c r="L43" s="80"/>
    </row>
    <row r="44" spans="1:12">
      <c r="A44" s="80"/>
      <c r="L44" s="80"/>
    </row>
    <row r="45" spans="1:12">
      <c r="A45" s="80"/>
      <c r="L45" s="80"/>
    </row>
    <row r="46" spans="1:12">
      <c r="A46" s="80"/>
      <c r="L46" s="80"/>
    </row>
    <row r="47" spans="1:12">
      <c r="A47" s="80"/>
      <c r="L47" s="80"/>
    </row>
    <row r="48" spans="1:12">
      <c r="A48" s="80"/>
      <c r="L48" s="80"/>
    </row>
    <row r="49" spans="1:12">
      <c r="A49" s="80"/>
      <c r="L49" s="80"/>
    </row>
    <row r="50" spans="1:12">
      <c r="A50" s="80"/>
      <c r="L50" s="80"/>
    </row>
    <row r="51" spans="1:12">
      <c r="A51" s="80"/>
      <c r="L51" s="80"/>
    </row>
    <row r="52" spans="1:12">
      <c r="A52" s="80"/>
      <c r="L52" s="80"/>
    </row>
    <row r="53" spans="1:12">
      <c r="A53" s="80"/>
      <c r="L53" s="80"/>
    </row>
    <row r="54" spans="1:12">
      <c r="A54" s="80"/>
      <c r="L54" s="80"/>
    </row>
    <row r="55" spans="1:12">
      <c r="A55" s="80"/>
      <c r="L55" s="80"/>
    </row>
    <row r="56" spans="1:12">
      <c r="A56" s="80"/>
      <c r="L56" s="80"/>
    </row>
    <row r="57" spans="1:12">
      <c r="A57" s="80"/>
      <c r="L57" s="80"/>
    </row>
    <row r="58" spans="1:12">
      <c r="A58" s="80"/>
      <c r="L58" s="80"/>
    </row>
    <row r="59" spans="1:12">
      <c r="A59" s="80"/>
      <c r="L59" s="80"/>
    </row>
    <row r="60" spans="1:12">
      <c r="A60" s="80"/>
      <c r="L60" s="80"/>
    </row>
    <row r="61" spans="1:12">
      <c r="A61" s="80"/>
      <c r="L61" s="80"/>
    </row>
    <row r="62" spans="1:12">
      <c r="A62" s="80"/>
      <c r="L62" s="80"/>
    </row>
    <row r="63" spans="1:12">
      <c r="A63" s="80"/>
      <c r="L63" s="80"/>
    </row>
    <row r="64" spans="1:12">
      <c r="A64" s="80"/>
      <c r="L64" s="80"/>
    </row>
    <row r="65" spans="1:12">
      <c r="A65" s="80"/>
      <c r="L65" s="80"/>
    </row>
    <row r="66" spans="1:12">
      <c r="A66" s="80"/>
      <c r="L66" s="80"/>
    </row>
    <row r="67" spans="1:12">
      <c r="A67" s="80"/>
      <c r="L67" s="80"/>
    </row>
    <row r="68" spans="1:12">
      <c r="A68" s="80"/>
      <c r="L68" s="80"/>
    </row>
    <row r="69" spans="1:12">
      <c r="A69" s="80"/>
      <c r="L69" s="80"/>
    </row>
    <row r="70" spans="1:12">
      <c r="A70" s="80"/>
      <c r="L70" s="80"/>
    </row>
    <row r="71" spans="1:12">
      <c r="A71" s="80"/>
      <c r="L71" s="80"/>
    </row>
    <row r="72" spans="1:12">
      <c r="A72" s="80"/>
      <c r="L72" s="80"/>
    </row>
    <row r="73" spans="1:12">
      <c r="A73" s="80"/>
      <c r="L73" s="80"/>
    </row>
    <row r="74" spans="1:12">
      <c r="A74" s="80"/>
      <c r="L74" s="80"/>
    </row>
    <row r="75" spans="1:12">
      <c r="A75" s="80"/>
      <c r="L75" s="80"/>
    </row>
    <row r="76" spans="1:12">
      <c r="A76" s="80"/>
      <c r="L76" s="80"/>
    </row>
    <row r="77" spans="1:12">
      <c r="A77" s="80"/>
      <c r="L77" s="80"/>
    </row>
    <row r="78" spans="1:12">
      <c r="A78" s="80"/>
      <c r="L78" s="80"/>
    </row>
    <row r="79" spans="1:12">
      <c r="A79" s="80"/>
      <c r="L79" s="80"/>
    </row>
    <row r="80" spans="1:12">
      <c r="A80" s="80"/>
      <c r="L80" s="80"/>
    </row>
    <row r="81" spans="1:12">
      <c r="A81" s="80"/>
      <c r="L81" s="80"/>
    </row>
    <row r="82" spans="1:12">
      <c r="A82" s="80"/>
      <c r="L82" s="80"/>
    </row>
    <row r="83" spans="1:12">
      <c r="A83" s="80"/>
      <c r="L83" s="80"/>
    </row>
    <row r="84" spans="1:12">
      <c r="A84" s="80"/>
      <c r="L84" s="80"/>
    </row>
    <row r="85" spans="1:12">
      <c r="A85" s="80"/>
      <c r="L85" s="80"/>
    </row>
    <row r="86" spans="1:12">
      <c r="A86" s="80"/>
      <c r="L86" s="80"/>
    </row>
    <row r="87" spans="1:12">
      <c r="A87" s="80"/>
      <c r="L87" s="80"/>
    </row>
    <row r="88" spans="1:12">
      <c r="A88" s="80"/>
      <c r="L88" s="80"/>
    </row>
    <row r="89" spans="1:12">
      <c r="A89" s="80"/>
      <c r="L89" s="80"/>
    </row>
    <row r="90" spans="1:12">
      <c r="A90" s="80"/>
      <c r="L90" s="80"/>
    </row>
    <row r="91" spans="1:12">
      <c r="A91" s="80"/>
      <c r="L91" s="80"/>
    </row>
    <row r="92" spans="1:12">
      <c r="A92" s="80"/>
      <c r="L92" s="80"/>
    </row>
    <row r="93" spans="1:12">
      <c r="A93" s="80"/>
      <c r="L93" s="80"/>
    </row>
    <row r="94" spans="1:12">
      <c r="A94" s="80"/>
      <c r="L94" s="80"/>
    </row>
    <row r="95" spans="1:12">
      <c r="A95" s="80"/>
      <c r="L95" s="80"/>
    </row>
    <row r="96" spans="1:12">
      <c r="A96" s="80"/>
      <c r="L96" s="80"/>
    </row>
    <row r="97" spans="1:12">
      <c r="A97" s="80"/>
      <c r="L97" s="80"/>
    </row>
    <row r="98" spans="1:12">
      <c r="A98" s="80"/>
      <c r="L98" s="80"/>
    </row>
    <row r="99" spans="1:12">
      <c r="A99" s="80"/>
      <c r="L99" s="80"/>
    </row>
    <row r="100" spans="1:12">
      <c r="A100" s="80"/>
      <c r="B100" s="80"/>
      <c r="C100" s="80"/>
      <c r="D100" s="80"/>
      <c r="E100" s="80"/>
      <c r="F100" s="80"/>
      <c r="G100" s="80"/>
      <c r="H100" s="80"/>
      <c r="I100" s="80"/>
      <c r="J100" s="80"/>
      <c r="K100" s="80"/>
      <c r="L100" s="80"/>
    </row>
  </sheetData>
  <mergeCells count="12">
    <mergeCell ref="C18:C19"/>
    <mergeCell ref="C22:C23"/>
    <mergeCell ref="C26:C27"/>
    <mergeCell ref="C6:C7"/>
    <mergeCell ref="D6:E6"/>
    <mergeCell ref="F6:G6"/>
    <mergeCell ref="H6:I6"/>
    <mergeCell ref="B2:C2"/>
    <mergeCell ref="B3:C3"/>
    <mergeCell ref="D3:F3"/>
    <mergeCell ref="G3:I3"/>
    <mergeCell ref="B4:C4"/>
  </mergeCells>
  <dataValidations count="1">
    <dataValidation type="list" allowBlank="1" showInputMessage="1" showErrorMessage="1" sqref="C16" xr:uid="{66615B3A-0F94-4E9E-A75C-479B120B8C45}">
      <formula1>"Mean,Median"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3" id="{16E08CE1-87B4-4EA5-85AB-F1A6B57328E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G34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8CEC8-C666-43DD-9AF3-5B3B9CC7D90A}">
  <dimension ref="A1:K100"/>
  <sheetViews>
    <sheetView showGridLines="0" topLeftCell="A7" workbookViewId="0">
      <selection activeCell="D22" sqref="D22"/>
    </sheetView>
  </sheetViews>
  <sheetFormatPr defaultColWidth="0" defaultRowHeight="14.4"/>
  <cols>
    <col min="1" max="2" width="3.77734375" customWidth="1"/>
    <col min="3" max="3" width="49.5546875" bestFit="1" customWidth="1"/>
    <col min="4" max="9" width="11.6640625" bestFit="1" customWidth="1"/>
    <col min="10" max="10" width="3.77734375" customWidth="1"/>
    <col min="11" max="11" width="3.77734375" hidden="1" customWidth="1"/>
    <col min="12" max="16384" width="8.88671875" hidden="1"/>
  </cols>
  <sheetData>
    <row r="1" spans="1:10">
      <c r="A1" s="80"/>
      <c r="B1" s="80"/>
      <c r="C1" s="80"/>
      <c r="D1" s="80"/>
      <c r="E1" s="80"/>
      <c r="F1" s="80"/>
      <c r="G1" s="80"/>
      <c r="H1" s="80"/>
      <c r="I1" s="80"/>
      <c r="J1" s="80"/>
    </row>
    <row r="2" spans="1:10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80"/>
    </row>
    <row r="3" spans="1:10">
      <c r="A3" s="80"/>
      <c r="B3" s="267" t="s">
        <v>416</v>
      </c>
      <c r="C3" s="267"/>
      <c r="D3" s="268" t="s">
        <v>8</v>
      </c>
      <c r="E3" s="268"/>
      <c r="F3" s="268"/>
      <c r="G3" s="268" t="s">
        <v>9</v>
      </c>
      <c r="H3" s="268"/>
      <c r="I3" s="268"/>
      <c r="J3" s="80"/>
    </row>
    <row r="4" spans="1:10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80"/>
    </row>
    <row r="5" spans="1:10">
      <c r="A5" s="80"/>
      <c r="G5" s="4"/>
      <c r="H5" s="4"/>
      <c r="I5" s="4"/>
      <c r="J5" s="80"/>
    </row>
    <row r="6" spans="1:10">
      <c r="A6" s="80"/>
      <c r="G6" s="4"/>
      <c r="H6" s="4"/>
      <c r="I6" s="4"/>
      <c r="J6" s="80"/>
    </row>
    <row r="7" spans="1:10">
      <c r="A7" s="80"/>
      <c r="B7" s="165" t="s">
        <v>118</v>
      </c>
      <c r="C7" s="5"/>
      <c r="G7" s="4"/>
      <c r="H7" s="4"/>
      <c r="I7" s="4"/>
      <c r="J7" s="80"/>
    </row>
    <row r="8" spans="1:10">
      <c r="A8" s="80"/>
      <c r="G8" s="4"/>
      <c r="H8" s="4"/>
      <c r="I8" s="4"/>
      <c r="J8" s="80"/>
    </row>
    <row r="9" spans="1:10">
      <c r="A9" s="80"/>
      <c r="C9" t="s">
        <v>417</v>
      </c>
      <c r="D9" s="122">
        <f>'Income Statement'!D8/'Income Statement'!D7</f>
        <v>0.6326447675737793</v>
      </c>
      <c r="E9" s="122">
        <f>'Income Statement'!E8/'Income Statement'!E7</f>
        <v>0.60944297278360915</v>
      </c>
      <c r="F9" s="122">
        <f>'Income Statement'!F8/'Income Statement'!F7</f>
        <v>0.60097212696870417</v>
      </c>
      <c r="G9" s="4"/>
      <c r="H9" s="4"/>
      <c r="I9" s="4"/>
      <c r="J9" s="80"/>
    </row>
    <row r="10" spans="1:10">
      <c r="A10" s="80"/>
      <c r="C10" s="188" t="s">
        <v>418</v>
      </c>
      <c r="D10" s="188"/>
      <c r="E10" s="188"/>
      <c r="F10" s="188"/>
      <c r="G10" s="201">
        <f t="shared" ref="G10:I10" si="1">AVERAGE($D$9:$F$9)</f>
        <v>0.61435328910869746</v>
      </c>
      <c r="H10" s="201">
        <f t="shared" si="1"/>
        <v>0.61435328910869746</v>
      </c>
      <c r="I10" s="201">
        <f t="shared" si="1"/>
        <v>0.61435328910869746</v>
      </c>
      <c r="J10" s="80"/>
    </row>
    <row r="11" spans="1:10">
      <c r="A11" s="80"/>
      <c r="C11" s="188" t="s">
        <v>419</v>
      </c>
      <c r="D11" s="188"/>
      <c r="E11" s="188"/>
      <c r="F11" s="188"/>
      <c r="G11" s="201">
        <f t="shared" ref="G11:I11" si="2">$F$9</f>
        <v>0.60097212696870417</v>
      </c>
      <c r="H11" s="201">
        <f t="shared" si="2"/>
        <v>0.60097212696870417</v>
      </c>
      <c r="I11" s="201">
        <f t="shared" si="2"/>
        <v>0.60097212696870417</v>
      </c>
      <c r="J11" s="80"/>
    </row>
    <row r="12" spans="1:10">
      <c r="A12" s="80"/>
      <c r="C12" s="188" t="s">
        <v>420</v>
      </c>
      <c r="D12" s="188"/>
      <c r="E12" s="188"/>
      <c r="F12" s="188"/>
      <c r="G12" s="201">
        <f t="shared" ref="G12:I12" si="3">D9</f>
        <v>0.6326447675737793</v>
      </c>
      <c r="H12" s="201">
        <f t="shared" si="3"/>
        <v>0.60944297278360915</v>
      </c>
      <c r="I12" s="201">
        <f t="shared" si="3"/>
        <v>0.60097212696870417</v>
      </c>
      <c r="J12" s="80"/>
    </row>
    <row r="13" spans="1:10">
      <c r="A13" s="80"/>
      <c r="G13" s="4"/>
      <c r="H13" s="4"/>
      <c r="I13" s="4"/>
      <c r="J13" s="80"/>
    </row>
    <row r="14" spans="1:10">
      <c r="A14" s="80"/>
      <c r="C14" s="11" t="s">
        <v>421</v>
      </c>
      <c r="D14" s="122">
        <f>'Income Statement'!D10/'Income Statement'!D7</f>
        <v>0.26397651201258127</v>
      </c>
      <c r="E14" s="122">
        <f>'Income Statement'!E10/'Income Statement'!E7</f>
        <v>0.26514842967794022</v>
      </c>
      <c r="F14" s="122">
        <f>'Income Statement'!F10/'Income Statement'!F7</f>
        <v>0.26563832482380434</v>
      </c>
      <c r="G14" s="4"/>
      <c r="H14" s="4"/>
      <c r="I14" s="4"/>
      <c r="J14" s="80"/>
    </row>
    <row r="15" spans="1:10">
      <c r="A15" s="80"/>
      <c r="C15" s="188" t="s">
        <v>418</v>
      </c>
      <c r="G15" s="201">
        <f t="shared" ref="G15:I15" si="4">AVERAGE($D$14:$F$14)</f>
        <v>0.26492108883810861</v>
      </c>
      <c r="H15" s="201">
        <f t="shared" si="4"/>
        <v>0.26492108883810861</v>
      </c>
      <c r="I15" s="201">
        <f t="shared" si="4"/>
        <v>0.26492108883810861</v>
      </c>
      <c r="J15" s="80"/>
    </row>
    <row r="16" spans="1:10">
      <c r="A16" s="80"/>
      <c r="C16" s="188" t="s">
        <v>419</v>
      </c>
      <c r="G16" s="201">
        <f t="shared" ref="G16:I16" si="5">$D$14</f>
        <v>0.26397651201258127</v>
      </c>
      <c r="H16" s="201">
        <f t="shared" si="5"/>
        <v>0.26397651201258127</v>
      </c>
      <c r="I16" s="201">
        <f t="shared" si="5"/>
        <v>0.26397651201258127</v>
      </c>
      <c r="J16" s="80"/>
    </row>
    <row r="17" spans="1:10">
      <c r="A17" s="80"/>
      <c r="C17" s="188" t="s">
        <v>420</v>
      </c>
      <c r="G17" s="201">
        <f t="shared" ref="G17:I17" si="6">$F$14</f>
        <v>0.26563832482380434</v>
      </c>
      <c r="H17" s="201">
        <f t="shared" si="6"/>
        <v>0.26563832482380434</v>
      </c>
      <c r="I17" s="201">
        <f t="shared" si="6"/>
        <v>0.26563832482380434</v>
      </c>
      <c r="J17" s="80"/>
    </row>
    <row r="18" spans="1:10">
      <c r="A18" s="80"/>
      <c r="G18" s="4"/>
      <c r="H18" s="4"/>
      <c r="I18" s="4"/>
      <c r="J18" s="80"/>
    </row>
    <row r="19" spans="1:10">
      <c r="A19" s="80"/>
      <c r="G19" s="4"/>
      <c r="H19" s="4"/>
      <c r="I19" s="4"/>
      <c r="J19" s="80"/>
    </row>
    <row r="20" spans="1:10">
      <c r="A20" s="80"/>
      <c r="G20" s="4"/>
      <c r="H20" s="4"/>
      <c r="I20" s="4"/>
      <c r="J20" s="80"/>
    </row>
    <row r="21" spans="1:10">
      <c r="A21" s="80"/>
      <c r="G21" s="4"/>
      <c r="H21" s="4"/>
      <c r="I21" s="4"/>
      <c r="J21" s="80"/>
    </row>
    <row r="22" spans="1:10">
      <c r="A22" s="80"/>
      <c r="G22" s="4"/>
      <c r="H22" s="4"/>
      <c r="I22" s="4"/>
      <c r="J22" s="80"/>
    </row>
    <row r="23" spans="1:10">
      <c r="A23" s="80"/>
      <c r="G23" s="4"/>
      <c r="H23" s="4"/>
      <c r="I23" s="4"/>
      <c r="J23" s="80"/>
    </row>
    <row r="24" spans="1:10">
      <c r="A24" s="80"/>
      <c r="G24" s="4"/>
      <c r="H24" s="4"/>
      <c r="I24" s="4"/>
      <c r="J24" s="80"/>
    </row>
    <row r="25" spans="1:10">
      <c r="A25" s="80"/>
      <c r="G25" s="4"/>
      <c r="H25" s="4"/>
      <c r="I25" s="4"/>
      <c r="J25" s="80"/>
    </row>
    <row r="26" spans="1:10">
      <c r="A26" s="80"/>
      <c r="G26" s="4"/>
      <c r="H26" s="4"/>
      <c r="I26" s="4"/>
      <c r="J26" s="80"/>
    </row>
    <row r="27" spans="1:10">
      <c r="A27" s="80"/>
      <c r="G27" s="4"/>
      <c r="H27" s="4"/>
      <c r="I27" s="4"/>
      <c r="J27" s="80"/>
    </row>
    <row r="28" spans="1:10">
      <c r="A28" s="80"/>
      <c r="G28" s="4"/>
      <c r="H28" s="4"/>
      <c r="I28" s="4"/>
      <c r="J28" s="80"/>
    </row>
    <row r="29" spans="1:10">
      <c r="A29" s="80"/>
      <c r="G29" s="4"/>
      <c r="H29" s="4"/>
      <c r="I29" s="4"/>
      <c r="J29" s="80"/>
    </row>
    <row r="30" spans="1:10">
      <c r="A30" s="80"/>
      <c r="G30" s="4"/>
      <c r="H30" s="4"/>
      <c r="I30" s="4"/>
      <c r="J30" s="80"/>
    </row>
    <row r="31" spans="1:10">
      <c r="A31" s="80"/>
      <c r="G31" s="4"/>
      <c r="H31" s="4"/>
      <c r="I31" s="4"/>
      <c r="J31" s="80"/>
    </row>
    <row r="32" spans="1:10">
      <c r="A32" s="80"/>
      <c r="G32" s="4"/>
      <c r="H32" s="4"/>
      <c r="I32" s="4"/>
      <c r="J32" s="80"/>
    </row>
    <row r="33" spans="1:10">
      <c r="A33" s="80"/>
      <c r="G33" s="4"/>
      <c r="H33" s="4"/>
      <c r="I33" s="4"/>
      <c r="J33" s="80"/>
    </row>
    <row r="34" spans="1:10">
      <c r="A34" s="80"/>
      <c r="G34" s="4"/>
      <c r="H34" s="4"/>
      <c r="I34" s="4"/>
      <c r="J34" s="80"/>
    </row>
    <row r="35" spans="1:10">
      <c r="A35" s="80"/>
      <c r="G35" s="4"/>
      <c r="H35" s="4"/>
      <c r="I35" s="4"/>
      <c r="J35" s="80"/>
    </row>
    <row r="36" spans="1:10">
      <c r="A36" s="80"/>
      <c r="G36" s="4"/>
      <c r="H36" s="4"/>
      <c r="I36" s="4"/>
      <c r="J36" s="80"/>
    </row>
    <row r="37" spans="1:10">
      <c r="A37" s="80"/>
      <c r="G37" s="4"/>
      <c r="H37" s="4"/>
      <c r="I37" s="4"/>
      <c r="J37" s="80"/>
    </row>
    <row r="38" spans="1:10">
      <c r="A38" s="80"/>
      <c r="G38" s="4"/>
      <c r="H38" s="4"/>
      <c r="I38" s="4"/>
      <c r="J38" s="80"/>
    </row>
    <row r="39" spans="1:10">
      <c r="A39" s="80"/>
      <c r="G39" s="4"/>
      <c r="H39" s="4"/>
      <c r="I39" s="4"/>
      <c r="J39" s="80"/>
    </row>
    <row r="40" spans="1:10">
      <c r="A40" s="80"/>
      <c r="G40" s="4"/>
      <c r="H40" s="4"/>
      <c r="I40" s="4"/>
      <c r="J40" s="80"/>
    </row>
    <row r="41" spans="1:10">
      <c r="A41" s="80"/>
      <c r="G41" s="4"/>
      <c r="H41" s="4"/>
      <c r="I41" s="4"/>
      <c r="J41" s="80"/>
    </row>
    <row r="42" spans="1:10">
      <c r="A42" s="80"/>
      <c r="G42" s="4"/>
      <c r="H42" s="4"/>
      <c r="I42" s="4"/>
      <c r="J42" s="80"/>
    </row>
    <row r="43" spans="1:10">
      <c r="A43" s="80"/>
      <c r="G43" s="4"/>
      <c r="H43" s="4"/>
      <c r="I43" s="4"/>
      <c r="J43" s="80"/>
    </row>
    <row r="44" spans="1:10">
      <c r="A44" s="80"/>
      <c r="G44" s="4"/>
      <c r="H44" s="4"/>
      <c r="I44" s="4"/>
      <c r="J44" s="80"/>
    </row>
    <row r="45" spans="1:10">
      <c r="A45" s="80"/>
      <c r="G45" s="4"/>
      <c r="H45" s="4"/>
      <c r="I45" s="4"/>
      <c r="J45" s="80"/>
    </row>
    <row r="46" spans="1:10">
      <c r="A46" s="80"/>
      <c r="G46" s="4"/>
      <c r="H46" s="4"/>
      <c r="I46" s="4"/>
      <c r="J46" s="80"/>
    </row>
    <row r="47" spans="1:10">
      <c r="A47" s="80"/>
      <c r="G47" s="4"/>
      <c r="H47" s="4"/>
      <c r="I47" s="4"/>
      <c r="J47" s="80"/>
    </row>
    <row r="48" spans="1:10">
      <c r="A48" s="80"/>
      <c r="G48" s="4"/>
      <c r="H48" s="4"/>
      <c r="I48" s="4"/>
      <c r="J48" s="80"/>
    </row>
    <row r="49" spans="1:10">
      <c r="A49" s="80"/>
      <c r="G49" s="4"/>
      <c r="H49" s="4"/>
      <c r="I49" s="4"/>
      <c r="J49" s="80"/>
    </row>
    <row r="50" spans="1:10">
      <c r="A50" s="80"/>
      <c r="G50" s="4"/>
      <c r="H50" s="4"/>
      <c r="I50" s="4"/>
      <c r="J50" s="80"/>
    </row>
    <row r="51" spans="1:10">
      <c r="A51" s="80"/>
      <c r="G51" s="4"/>
      <c r="H51" s="4"/>
      <c r="I51" s="4"/>
      <c r="J51" s="80"/>
    </row>
    <row r="52" spans="1:10">
      <c r="A52" s="80"/>
      <c r="G52" s="4"/>
      <c r="H52" s="4"/>
      <c r="I52" s="4"/>
      <c r="J52" s="80"/>
    </row>
    <row r="53" spans="1:10">
      <c r="A53" s="80"/>
      <c r="G53" s="4"/>
      <c r="H53" s="4"/>
      <c r="I53" s="4"/>
      <c r="J53" s="80"/>
    </row>
    <row r="54" spans="1:10">
      <c r="A54" s="80"/>
      <c r="G54" s="4"/>
      <c r="H54" s="4"/>
      <c r="I54" s="4"/>
      <c r="J54" s="80"/>
    </row>
    <row r="55" spans="1:10">
      <c r="A55" s="80"/>
      <c r="G55" s="4"/>
      <c r="H55" s="4"/>
      <c r="I55" s="4"/>
      <c r="J55" s="80"/>
    </row>
    <row r="56" spans="1:10">
      <c r="A56" s="80"/>
      <c r="G56" s="4"/>
      <c r="H56" s="4"/>
      <c r="I56" s="4"/>
      <c r="J56" s="80"/>
    </row>
    <row r="57" spans="1:10">
      <c r="A57" s="80"/>
      <c r="G57" s="4"/>
      <c r="H57" s="4"/>
      <c r="I57" s="4"/>
      <c r="J57" s="80"/>
    </row>
    <row r="58" spans="1:10">
      <c r="A58" s="80"/>
      <c r="G58" s="4"/>
      <c r="H58" s="4"/>
      <c r="I58" s="4"/>
      <c r="J58" s="80"/>
    </row>
    <row r="59" spans="1:10">
      <c r="A59" s="80"/>
      <c r="G59" s="4"/>
      <c r="H59" s="4"/>
      <c r="I59" s="4"/>
      <c r="J59" s="80"/>
    </row>
    <row r="60" spans="1:10">
      <c r="A60" s="80"/>
      <c r="G60" s="4"/>
      <c r="H60" s="4"/>
      <c r="I60" s="4"/>
      <c r="J60" s="80"/>
    </row>
    <row r="61" spans="1:10">
      <c r="A61" s="80"/>
      <c r="G61" s="4"/>
      <c r="H61" s="4"/>
      <c r="I61" s="4"/>
      <c r="J61" s="80"/>
    </row>
    <row r="62" spans="1:10">
      <c r="A62" s="80"/>
      <c r="G62" s="4"/>
      <c r="H62" s="4"/>
      <c r="I62" s="4"/>
      <c r="J62" s="80"/>
    </row>
    <row r="63" spans="1:10">
      <c r="A63" s="80"/>
      <c r="G63" s="4"/>
      <c r="H63" s="4"/>
      <c r="I63" s="4"/>
      <c r="J63" s="80"/>
    </row>
    <row r="64" spans="1:10">
      <c r="A64" s="80"/>
      <c r="G64" s="4"/>
      <c r="H64" s="4"/>
      <c r="I64" s="4"/>
      <c r="J64" s="80"/>
    </row>
    <row r="65" spans="1:10">
      <c r="A65" s="80"/>
      <c r="G65" s="4"/>
      <c r="H65" s="4"/>
      <c r="I65" s="4"/>
      <c r="J65" s="80"/>
    </row>
    <row r="66" spans="1:10">
      <c r="A66" s="80"/>
      <c r="G66" s="4"/>
      <c r="H66" s="4"/>
      <c r="I66" s="4"/>
      <c r="J66" s="80"/>
    </row>
    <row r="67" spans="1:10">
      <c r="A67" s="80"/>
      <c r="G67" s="4"/>
      <c r="H67" s="4"/>
      <c r="I67" s="4"/>
      <c r="J67" s="80"/>
    </row>
    <row r="68" spans="1:10">
      <c r="A68" s="80"/>
      <c r="G68" s="4"/>
      <c r="H68" s="4"/>
      <c r="I68" s="4"/>
      <c r="J68" s="80"/>
    </row>
    <row r="69" spans="1:10">
      <c r="A69" s="80"/>
      <c r="G69" s="4"/>
      <c r="H69" s="4"/>
      <c r="I69" s="4"/>
      <c r="J69" s="80"/>
    </row>
    <row r="70" spans="1:10">
      <c r="A70" s="80"/>
      <c r="G70" s="4"/>
      <c r="H70" s="4"/>
      <c r="I70" s="4"/>
      <c r="J70" s="80"/>
    </row>
    <row r="71" spans="1:10">
      <c r="A71" s="80"/>
      <c r="G71" s="4"/>
      <c r="H71" s="4"/>
      <c r="I71" s="4"/>
      <c r="J71" s="80"/>
    </row>
    <row r="72" spans="1:10">
      <c r="A72" s="80"/>
      <c r="G72" s="4"/>
      <c r="H72" s="4"/>
      <c r="I72" s="4"/>
      <c r="J72" s="80"/>
    </row>
    <row r="73" spans="1:10">
      <c r="A73" s="80"/>
      <c r="G73" s="4"/>
      <c r="H73" s="4"/>
      <c r="I73" s="4"/>
      <c r="J73" s="80"/>
    </row>
    <row r="74" spans="1:10">
      <c r="A74" s="80"/>
      <c r="G74" s="4"/>
      <c r="H74" s="4"/>
      <c r="I74" s="4"/>
      <c r="J74" s="80"/>
    </row>
    <row r="75" spans="1:10">
      <c r="A75" s="80"/>
      <c r="G75" s="4"/>
      <c r="H75" s="4"/>
      <c r="I75" s="4"/>
      <c r="J75" s="80"/>
    </row>
    <row r="76" spans="1:10">
      <c r="A76" s="80"/>
      <c r="G76" s="4"/>
      <c r="H76" s="4"/>
      <c r="I76" s="4"/>
      <c r="J76" s="80"/>
    </row>
    <row r="77" spans="1:10">
      <c r="A77" s="80"/>
      <c r="G77" s="4"/>
      <c r="H77" s="4"/>
      <c r="I77" s="4"/>
      <c r="J77" s="80"/>
    </row>
    <row r="78" spans="1:10">
      <c r="A78" s="80"/>
      <c r="G78" s="4"/>
      <c r="H78" s="4"/>
      <c r="I78" s="4"/>
      <c r="J78" s="80"/>
    </row>
    <row r="79" spans="1:10">
      <c r="A79" s="80"/>
      <c r="G79" s="4"/>
      <c r="H79" s="4"/>
      <c r="I79" s="4"/>
      <c r="J79" s="80"/>
    </row>
    <row r="80" spans="1:10">
      <c r="A80" s="80"/>
      <c r="G80" s="4"/>
      <c r="H80" s="4"/>
      <c r="I80" s="4"/>
      <c r="J80" s="80"/>
    </row>
    <row r="81" spans="1:10">
      <c r="A81" s="80"/>
      <c r="G81" s="4"/>
      <c r="H81" s="4"/>
      <c r="I81" s="4"/>
      <c r="J81" s="80"/>
    </row>
    <row r="82" spans="1:10">
      <c r="A82" s="80"/>
      <c r="G82" s="4"/>
      <c r="H82" s="4"/>
      <c r="I82" s="4"/>
      <c r="J82" s="80"/>
    </row>
    <row r="83" spans="1:10">
      <c r="A83" s="80"/>
      <c r="G83" s="4"/>
      <c r="H83" s="4"/>
      <c r="I83" s="4"/>
      <c r="J83" s="80"/>
    </row>
    <row r="84" spans="1:10">
      <c r="A84" s="80"/>
      <c r="G84" s="4"/>
      <c r="H84" s="4"/>
      <c r="I84" s="4"/>
      <c r="J84" s="80"/>
    </row>
    <row r="85" spans="1:10">
      <c r="A85" s="80"/>
      <c r="G85" s="4"/>
      <c r="H85" s="4"/>
      <c r="I85" s="4"/>
      <c r="J85" s="80"/>
    </row>
    <row r="86" spans="1:10">
      <c r="A86" s="80"/>
      <c r="G86" s="4"/>
      <c r="H86" s="4"/>
      <c r="I86" s="4"/>
      <c r="J86" s="80"/>
    </row>
    <row r="87" spans="1:10">
      <c r="A87" s="80"/>
      <c r="G87" s="4"/>
      <c r="H87" s="4"/>
      <c r="I87" s="4"/>
      <c r="J87" s="80"/>
    </row>
    <row r="88" spans="1:10">
      <c r="A88" s="80"/>
      <c r="G88" s="4"/>
      <c r="H88" s="4"/>
      <c r="I88" s="4"/>
      <c r="J88" s="80"/>
    </row>
    <row r="89" spans="1:10">
      <c r="A89" s="80"/>
      <c r="G89" s="4"/>
      <c r="H89" s="4"/>
      <c r="I89" s="4"/>
      <c r="J89" s="80"/>
    </row>
    <row r="90" spans="1:10">
      <c r="A90" s="80"/>
      <c r="G90" s="4"/>
      <c r="H90" s="4"/>
      <c r="I90" s="4"/>
      <c r="J90" s="80"/>
    </row>
    <row r="91" spans="1:10">
      <c r="A91" s="80"/>
      <c r="G91" s="4"/>
      <c r="H91" s="4"/>
      <c r="I91" s="4"/>
      <c r="J91" s="80"/>
    </row>
    <row r="92" spans="1:10">
      <c r="A92" s="80"/>
      <c r="G92" s="4"/>
      <c r="H92" s="4"/>
      <c r="I92" s="4"/>
      <c r="J92" s="80"/>
    </row>
    <row r="93" spans="1:10">
      <c r="A93" s="80"/>
      <c r="G93" s="4"/>
      <c r="H93" s="4"/>
      <c r="I93" s="4"/>
      <c r="J93" s="80"/>
    </row>
    <row r="94" spans="1:10">
      <c r="A94" s="80"/>
      <c r="G94" s="4"/>
      <c r="H94" s="4"/>
      <c r="I94" s="4"/>
      <c r="J94" s="80"/>
    </row>
    <row r="95" spans="1:10">
      <c r="A95" s="80"/>
      <c r="G95" s="4"/>
      <c r="H95" s="4"/>
      <c r="I95" s="4"/>
      <c r="J95" s="80"/>
    </row>
    <row r="96" spans="1:10">
      <c r="A96" s="80"/>
      <c r="G96" s="4"/>
      <c r="H96" s="4"/>
      <c r="I96" s="4"/>
      <c r="J96" s="80"/>
    </row>
    <row r="97" spans="1:10">
      <c r="A97" s="80"/>
      <c r="G97" s="4"/>
      <c r="H97" s="4"/>
      <c r="I97" s="4"/>
      <c r="J97" s="80"/>
    </row>
    <row r="98" spans="1:10">
      <c r="A98" s="80"/>
      <c r="G98" s="4"/>
      <c r="H98" s="4"/>
      <c r="I98" s="4"/>
      <c r="J98" s="80"/>
    </row>
    <row r="99" spans="1:10">
      <c r="A99" s="80"/>
      <c r="G99" s="4"/>
      <c r="H99" s="4"/>
      <c r="I99" s="4"/>
      <c r="J99" s="80"/>
    </row>
    <row r="100" spans="1:10">
      <c r="A100" s="80"/>
      <c r="B100" s="80"/>
      <c r="C100" s="80"/>
      <c r="D100" s="80"/>
      <c r="E100" s="80"/>
      <c r="F100" s="80"/>
      <c r="G100" s="80"/>
      <c r="H100" s="80"/>
      <c r="I100" s="80"/>
      <c r="J100" s="80"/>
    </row>
  </sheetData>
  <mergeCells count="5">
    <mergeCell ref="B2:C2"/>
    <mergeCell ref="B3:C3"/>
    <mergeCell ref="D3:F3"/>
    <mergeCell ref="G3:I3"/>
    <mergeCell ref="B4:C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65C9B-2E4B-490B-8BAC-25C8CFA4D064}">
  <dimension ref="A1:K100"/>
  <sheetViews>
    <sheetView showGridLines="0" workbookViewId="0">
      <selection activeCell="G44" sqref="G44"/>
    </sheetView>
  </sheetViews>
  <sheetFormatPr defaultColWidth="0" defaultRowHeight="14.4"/>
  <cols>
    <col min="1" max="2" width="3.77734375" customWidth="1"/>
    <col min="3" max="3" width="64.109375" bestFit="1" customWidth="1"/>
    <col min="4" max="9" width="11.6640625" bestFit="1" customWidth="1"/>
    <col min="10" max="10" width="3.77734375" customWidth="1"/>
    <col min="11" max="11" width="3.77734375" hidden="1" customWidth="1"/>
    <col min="12" max="16384" width="8.88671875" hidden="1"/>
  </cols>
  <sheetData>
    <row r="1" spans="1:10">
      <c r="A1" s="80"/>
      <c r="B1" s="80"/>
      <c r="C1" s="80"/>
      <c r="D1" s="80"/>
      <c r="E1" s="80"/>
      <c r="F1" s="80"/>
      <c r="G1" s="80"/>
      <c r="H1" s="80"/>
      <c r="I1" s="80"/>
      <c r="J1" s="80"/>
    </row>
    <row r="2" spans="1:10">
      <c r="A2" s="80"/>
      <c r="B2" s="267" t="str">
        <f>Company_name</f>
        <v>Coca-Cola Consolidated, Inc. (COKE)</v>
      </c>
      <c r="C2" s="267"/>
      <c r="D2" s="78"/>
      <c r="E2" s="78"/>
      <c r="F2" s="78"/>
      <c r="G2" s="78"/>
      <c r="H2" s="78"/>
      <c r="I2" s="78"/>
      <c r="J2" s="80"/>
    </row>
    <row r="3" spans="1:10">
      <c r="A3" s="80"/>
      <c r="B3" s="283"/>
      <c r="C3" s="283"/>
      <c r="D3" s="268" t="s">
        <v>8</v>
      </c>
      <c r="E3" s="268"/>
      <c r="F3" s="268"/>
      <c r="G3" s="268" t="s">
        <v>9</v>
      </c>
      <c r="H3" s="268"/>
      <c r="I3" s="268"/>
      <c r="J3" s="80"/>
    </row>
    <row r="4" spans="1:10">
      <c r="A4" s="80"/>
      <c r="B4" s="267" t="str">
        <f>currency</f>
        <v>in thousands, except per share data</v>
      </c>
      <c r="C4" s="267"/>
      <c r="D4" s="79">
        <f>EDATE(E4,-12)</f>
        <v>44926</v>
      </c>
      <c r="E4" s="79">
        <f>EDATE(F4,-12)</f>
        <v>45291</v>
      </c>
      <c r="F4" s="79">
        <f>LHY</f>
        <v>45657</v>
      </c>
      <c r="G4" s="79">
        <f>EDATE(F4,12)</f>
        <v>46022</v>
      </c>
      <c r="H4" s="79">
        <f t="shared" ref="H4:I4" si="0">EDATE(G4,12)</f>
        <v>46387</v>
      </c>
      <c r="I4" s="79">
        <f t="shared" si="0"/>
        <v>46752</v>
      </c>
      <c r="J4" s="80"/>
    </row>
    <row r="5" spans="1:10">
      <c r="A5" s="80"/>
      <c r="G5" s="4"/>
      <c r="H5" s="4"/>
      <c r="I5" s="4"/>
      <c r="J5" s="80"/>
    </row>
    <row r="6" spans="1:10">
      <c r="A6" s="80"/>
      <c r="G6" s="4"/>
      <c r="H6" s="4"/>
      <c r="I6" s="4"/>
      <c r="J6" s="80"/>
    </row>
    <row r="7" spans="1:10" ht="15.6">
      <c r="A7" s="80"/>
      <c r="B7" s="203" t="s">
        <v>118</v>
      </c>
      <c r="C7" s="5"/>
      <c r="G7" s="4"/>
      <c r="H7" s="4"/>
      <c r="I7" s="4"/>
      <c r="J7" s="80"/>
    </row>
    <row r="8" spans="1:10">
      <c r="A8" s="80"/>
      <c r="G8" s="4"/>
      <c r="H8" s="4"/>
      <c r="I8" s="4"/>
      <c r="J8" s="80"/>
    </row>
    <row r="9" spans="1:10">
      <c r="A9" s="80"/>
      <c r="C9" s="11" t="s">
        <v>422</v>
      </c>
      <c r="D9" s="122">
        <f>'Income Statement'!D12/'Income Statement'!D7</f>
        <v>3.9980925524882695E-3</v>
      </c>
      <c r="E9" s="122">
        <f>'Income Statement'!E12/'Income Statement'!E7</f>
        <v>-1.379650722933973E-4</v>
      </c>
      <c r="F9" s="122">
        <f>'Income Statement'!F12/'Income Statement'!F7</f>
        <v>2.6783711097674168E-4</v>
      </c>
      <c r="G9" s="202">
        <f t="shared" ref="G9:I9" si="1">AVERAGE(D9:F9)</f>
        <v>1.3759881970572046E-3</v>
      </c>
      <c r="H9" s="202">
        <f t="shared" si="1"/>
        <v>5.0195341191351629E-4</v>
      </c>
      <c r="I9" s="202">
        <f t="shared" si="1"/>
        <v>7.1525957331582081E-4</v>
      </c>
      <c r="J9" s="80"/>
    </row>
    <row r="10" spans="1:10">
      <c r="A10" s="80"/>
      <c r="C10" s="11" t="s">
        <v>423</v>
      </c>
      <c r="D10" s="122">
        <f>'Income Statement'!D13/'Income Statement'!D7</f>
        <v>5.2090346699711024E-3</v>
      </c>
      <c r="E10" s="122">
        <f>'Income Statement'!E13/'Income Statement'!E7</f>
        <v>2.3949113431636204E-2</v>
      </c>
      <c r="F10" s="122">
        <f>'Income Statement'!F13/'Income Statement'!F7</f>
        <v>8.575135556304056E-3</v>
      </c>
      <c r="G10" s="202">
        <f t="shared" ref="G10:G13" si="2">AVERAGE(D10:F10)</f>
        <v>1.2577761219303788E-2</v>
      </c>
      <c r="H10" s="202">
        <f t="shared" ref="H10:H13" si="3">AVERAGE(E10:G10)</f>
        <v>1.5034003402414684E-2</v>
      </c>
      <c r="I10" s="202">
        <f t="shared" ref="I10:I13" si="4">AVERAGE(F10:H10)</f>
        <v>1.2062300059340843E-2</v>
      </c>
      <c r="J10" s="80"/>
    </row>
    <row r="11" spans="1:10">
      <c r="A11" s="80"/>
      <c r="C11" s="11" t="s">
        <v>424</v>
      </c>
      <c r="D11" s="122">
        <f>'Income Statement'!D14/'Income Statement'!D7</f>
        <v>0</v>
      </c>
      <c r="E11" s="122">
        <f>'Income Statement'!E14/'Income Statement'!E7</f>
        <v>1.6951969819614426E-2</v>
      </c>
      <c r="F11" s="122">
        <f>'Income Statement'!F14/'Income Statement'!F7</f>
        <v>0</v>
      </c>
      <c r="G11" s="202">
        <f t="shared" ref="G11:I11" si="5">F11</f>
        <v>0</v>
      </c>
      <c r="H11" s="202">
        <f t="shared" si="5"/>
        <v>0</v>
      </c>
      <c r="I11" s="202">
        <f t="shared" si="5"/>
        <v>0</v>
      </c>
      <c r="J11" s="80"/>
    </row>
    <row r="12" spans="1:10">
      <c r="A12" s="80"/>
      <c r="C12" s="11" t="s">
        <v>425</v>
      </c>
      <c r="D12" s="122">
        <f>'Income Statement'!D15/'Income Statement'!D7</f>
        <v>1.4299405720762134E-3</v>
      </c>
      <c r="E12" s="122">
        <f>'Income Statement'!E15/'Income Statement'!E7</f>
        <v>8.6235684620862064E-4</v>
      </c>
      <c r="F12" s="122">
        <f>'Income Statement'!F15/'Income Statement'!F7</f>
        <v>3.8871165132014129E-4</v>
      </c>
      <c r="G12" s="202">
        <f t="shared" si="2"/>
        <v>8.9366968986832526E-4</v>
      </c>
      <c r="H12" s="202">
        <f t="shared" si="3"/>
        <v>7.149127291323624E-4</v>
      </c>
      <c r="I12" s="202">
        <f t="shared" si="4"/>
        <v>6.6576469010694306E-4</v>
      </c>
      <c r="J12" s="80"/>
    </row>
    <row r="13" spans="1:10">
      <c r="A13" s="80"/>
      <c r="C13" s="11" t="s">
        <v>426</v>
      </c>
      <c r="D13" s="122">
        <f>'Income Statement'!D17/'Income Statement'!D16</f>
        <v>0.25201230422527376</v>
      </c>
      <c r="E13" s="122">
        <f>'Income Statement'!E17/'Income Statement'!E16</f>
        <v>0.26746382387919948</v>
      </c>
      <c r="F13" s="122">
        <f>'Income Statement'!F17/'Income Statement'!F16</f>
        <v>0.26093265192247977</v>
      </c>
      <c r="G13" s="202">
        <f t="shared" si="2"/>
        <v>0.26013626000898432</v>
      </c>
      <c r="H13" s="202">
        <f t="shared" si="3"/>
        <v>0.26284424527022116</v>
      </c>
      <c r="I13" s="202">
        <f t="shared" si="4"/>
        <v>0.26130438573389508</v>
      </c>
      <c r="J13" s="80"/>
    </row>
    <row r="14" spans="1:10">
      <c r="A14" s="80"/>
      <c r="G14" s="4"/>
      <c r="H14" s="4"/>
      <c r="I14" s="4"/>
      <c r="J14" s="80"/>
    </row>
    <row r="15" spans="1:10" ht="15.6">
      <c r="A15" s="80"/>
      <c r="B15" s="203" t="s">
        <v>119</v>
      </c>
      <c r="G15" s="4"/>
      <c r="H15" s="4"/>
      <c r="I15" s="4"/>
      <c r="J15" s="80"/>
    </row>
    <row r="16" spans="1:10" ht="15.6">
      <c r="A16" s="80"/>
      <c r="C16" s="205" t="s">
        <v>427</v>
      </c>
      <c r="G16" s="4"/>
      <c r="H16" s="4"/>
      <c r="I16" s="4"/>
      <c r="J16" s="80"/>
    </row>
    <row r="17" spans="1:10">
      <c r="A17" s="80"/>
      <c r="C17" s="105" t="s">
        <v>429</v>
      </c>
      <c r="D17" s="122">
        <f>'Balance Sheet'!E10/'Income Statement'!D7</f>
        <v>0</v>
      </c>
      <c r="E17" s="122">
        <f>'Balance Sheet'!F10/'Income Statement'!E7</f>
        <v>0</v>
      </c>
      <c r="F17" s="122">
        <f>'Balance Sheet'!G10/'Income Statement'!F7</f>
        <v>4.3655420020186339E-2</v>
      </c>
      <c r="G17" s="202">
        <f t="shared" ref="G17:G27" si="6">AVERAGE(D17:F17)</f>
        <v>1.4551806673395446E-2</v>
      </c>
      <c r="H17" s="202">
        <f t="shared" ref="H17:H27" si="7">AVERAGE(E17:G17)</f>
        <v>1.9402408897860594E-2</v>
      </c>
      <c r="I17" s="202">
        <f t="shared" ref="I17:I27" si="8">AVERAGE(F17:H17)</f>
        <v>2.5869878530480794E-2</v>
      </c>
      <c r="J17" s="80"/>
    </row>
    <row r="18" spans="1:10">
      <c r="A18" s="80"/>
      <c r="C18" s="105" t="s">
        <v>430</v>
      </c>
      <c r="D18" s="122">
        <f>'Balance Sheet'!E11/'Income Statement'!D7</f>
        <v>8.5800788491195795E-2</v>
      </c>
      <c r="E18" s="122">
        <f>'Balance Sheet'!F11/'Income Statement'!E7</f>
        <v>8.3550475528633164E-2</v>
      </c>
      <c r="F18" s="122">
        <f>'Balance Sheet'!G11/'Income Statement'!F7</f>
        <v>8.2271936989870315E-2</v>
      </c>
      <c r="G18" s="202">
        <f t="shared" si="6"/>
        <v>8.3874400336566415E-2</v>
      </c>
      <c r="H18" s="202">
        <f t="shared" si="7"/>
        <v>8.323227095168996E-2</v>
      </c>
      <c r="I18" s="202">
        <f t="shared" si="8"/>
        <v>8.3126202759375559E-2</v>
      </c>
      <c r="J18" s="80"/>
    </row>
    <row r="19" spans="1:10">
      <c r="A19" s="80"/>
      <c r="C19" s="105" t="s">
        <v>431</v>
      </c>
      <c r="D19" s="122">
        <f>'Balance Sheet'!E12/'Income Statement'!D7</f>
        <v>-2.5994374739253959E-3</v>
      </c>
      <c r="E19" s="122">
        <f>'Balance Sheet'!F12/'Income Statement'!E7</f>
        <v>-2.413637321385578E-3</v>
      </c>
      <c r="F19" s="122">
        <f>'Balance Sheet'!G12/'Income Statement'!F7</f>
        <v>-2.1267542026367462E-3</v>
      </c>
      <c r="G19" s="202">
        <f t="shared" si="6"/>
        <v>-2.3799429993159068E-3</v>
      </c>
      <c r="H19" s="202">
        <f t="shared" si="7"/>
        <v>-2.3067781744460767E-3</v>
      </c>
      <c r="I19" s="202">
        <f t="shared" si="8"/>
        <v>-2.2711584587995766E-3</v>
      </c>
      <c r="J19" s="80"/>
    </row>
    <row r="20" spans="1:10">
      <c r="A20" s="80"/>
      <c r="C20" s="105" t="s">
        <v>432</v>
      </c>
      <c r="D20" s="122">
        <f>'Balance Sheet'!E13/'Income Statement'!D7</f>
        <v>5.7710446951978545E-3</v>
      </c>
      <c r="E20" s="122">
        <f>'Balance Sheet'!F13/'Income Statement'!E7</f>
        <v>7.805396508311419E-3</v>
      </c>
      <c r="F20" s="122">
        <f>'Balance Sheet'!G13/'Income Statement'!F7</f>
        <v>1.3025318723263393E-2</v>
      </c>
      <c r="G20" s="202">
        <f t="shared" si="6"/>
        <v>8.8672533089242233E-3</v>
      </c>
      <c r="H20" s="202">
        <f t="shared" si="7"/>
        <v>9.8993228468330103E-3</v>
      </c>
      <c r="I20" s="202">
        <f t="shared" si="8"/>
        <v>1.0597298293006875E-2</v>
      </c>
      <c r="J20" s="80"/>
    </row>
    <row r="21" spans="1:10">
      <c r="A21" s="80"/>
      <c r="C21" s="105" t="s">
        <v>433</v>
      </c>
      <c r="D21" s="122">
        <f>'Balance Sheet'!E14/'Income Statement'!D7</f>
        <v>8.8100917326148203E-3</v>
      </c>
      <c r="E21" s="122">
        <f>'Balance Sheet'!F14/'Income Statement'!E7</f>
        <v>1.0149450138551199E-2</v>
      </c>
      <c r="F21" s="122">
        <f>'Balance Sheet'!G14/'Income Statement'!F7</f>
        <v>5.8976340475463051E-3</v>
      </c>
      <c r="G21" s="202">
        <f t="shared" ref="G21:I21" si="9">AVERAGE(D21:F21)</f>
        <v>8.2857253062374406E-3</v>
      </c>
      <c r="H21" s="202">
        <f t="shared" si="9"/>
        <v>8.1109364974449819E-3</v>
      </c>
      <c r="I21" s="202">
        <f t="shared" si="9"/>
        <v>7.4314319504095753E-3</v>
      </c>
      <c r="J21" s="80"/>
    </row>
    <row r="22" spans="1:10">
      <c r="A22" s="80"/>
      <c r="C22" s="105" t="s">
        <v>434</v>
      </c>
      <c r="D22" s="122">
        <f>'Balance Sheet'!E15/'Income Statement'!D8</f>
        <v>8.859157130392202E-2</v>
      </c>
      <c r="E22" s="122">
        <f>'Balance Sheet'!F15/'Income Statement'!E8</f>
        <v>7.938849072549034E-2</v>
      </c>
      <c r="F22" s="122">
        <f>'Balance Sheet'!G15/'Income Statement'!F8</f>
        <v>7.9679742397089429E-2</v>
      </c>
      <c r="G22" s="202">
        <f t="shared" si="6"/>
        <v>8.2553268142167249E-2</v>
      </c>
      <c r="H22" s="202">
        <f t="shared" si="7"/>
        <v>8.0540500421582339E-2</v>
      </c>
      <c r="I22" s="202">
        <f t="shared" si="8"/>
        <v>8.0924503653613006E-2</v>
      </c>
      <c r="J22" s="80"/>
    </row>
    <row r="23" spans="1:10">
      <c r="A23" s="80"/>
      <c r="C23" s="105" t="s">
        <v>435</v>
      </c>
      <c r="D23" s="122">
        <f>'Balance Sheet'!E16/'Income Statement'!D7</f>
        <v>1.5201363273443116E-2</v>
      </c>
      <c r="E23" s="122">
        <f>'Balance Sheet'!F16/'Income Statement'!E7</f>
        <v>1.331332889881329E-2</v>
      </c>
      <c r="F23" s="122">
        <f>'Balance Sheet'!G16/'Income Statement'!F7</f>
        <v>1.3961589143669103E-2</v>
      </c>
      <c r="G23" s="202">
        <f t="shared" si="6"/>
        <v>1.4158760438641836E-2</v>
      </c>
      <c r="H23" s="202">
        <f t="shared" si="7"/>
        <v>1.3811226160374744E-2</v>
      </c>
      <c r="I23" s="202">
        <f t="shared" si="8"/>
        <v>1.3977191914228561E-2</v>
      </c>
      <c r="J23" s="80"/>
    </row>
    <row r="24" spans="1:10">
      <c r="A24" s="80"/>
      <c r="C24" s="105" t="s">
        <v>495</v>
      </c>
      <c r="D24" s="122">
        <v>0</v>
      </c>
      <c r="E24" s="122">
        <v>0</v>
      </c>
      <c r="F24" s="122">
        <v>0</v>
      </c>
      <c r="G24" s="177">
        <v>0</v>
      </c>
      <c r="H24" s="177">
        <v>0</v>
      </c>
      <c r="I24" s="177">
        <v>0</v>
      </c>
      <c r="J24" s="80"/>
    </row>
    <row r="25" spans="1:10">
      <c r="A25" s="80"/>
      <c r="C25" s="105" t="s">
        <v>436</v>
      </c>
      <c r="D25" s="122">
        <f>'Balance Sheet'!E22/'Income Statement'!D7</f>
        <v>1.8689373269319558E-2</v>
      </c>
      <c r="E25" s="122">
        <f>'Balance Sheet'!F22/'Income Statement'!E7</f>
        <v>2.182388022106874E-2</v>
      </c>
      <c r="F25" s="122">
        <f>'Balance Sheet'!G22/'Income Statement'!F7</f>
        <v>2.6239920599630477E-2</v>
      </c>
      <c r="G25" s="202">
        <f t="shared" si="6"/>
        <v>2.2251058030006255E-2</v>
      </c>
      <c r="H25" s="202">
        <f t="shared" si="7"/>
        <v>2.3438286283568491E-2</v>
      </c>
      <c r="I25" s="202">
        <f t="shared" si="8"/>
        <v>2.3976421637735074E-2</v>
      </c>
      <c r="J25" s="80"/>
    </row>
    <row r="26" spans="1:10">
      <c r="A26" s="80"/>
      <c r="C26" s="105" t="s">
        <v>437</v>
      </c>
      <c r="D26" s="122">
        <f>'Balance Sheet'!E24/'Income Statement'!D7</f>
        <v>0.13579113675518151</v>
      </c>
      <c r="E26" s="122">
        <f>'Balance Sheet'!F24/'Income Statement'!E7</f>
        <v>0.12280739985734591</v>
      </c>
      <c r="F26" s="122">
        <f>'Balance Sheet'!G24/'Income Statement'!F7</f>
        <v>0.11482385651815234</v>
      </c>
      <c r="G26" s="202">
        <f t="shared" si="6"/>
        <v>0.12447413104355992</v>
      </c>
      <c r="H26" s="202">
        <f t="shared" si="7"/>
        <v>0.12070179580635272</v>
      </c>
      <c r="I26" s="202">
        <f t="shared" si="8"/>
        <v>0.11999992778935499</v>
      </c>
      <c r="J26" s="80"/>
    </row>
    <row r="27" spans="1:10">
      <c r="A27" s="80"/>
      <c r="C27" s="105" t="s">
        <v>438</v>
      </c>
      <c r="D27" s="122">
        <f>'Balance Sheet'!E25/'Income Statement'!D7</f>
        <v>1.4779976703595912E-3</v>
      </c>
      <c r="E27" s="122">
        <f>'Balance Sheet'!F25/'Income Statement'!E7</f>
        <v>1.1270153345622946E-3</v>
      </c>
      <c r="F27" s="122">
        <f>'Balance Sheet'!G25/'Income Statement'!F7</f>
        <v>8.5191912246822916E-4</v>
      </c>
      <c r="G27" s="202">
        <f t="shared" si="6"/>
        <v>1.1523107091300382E-3</v>
      </c>
      <c r="H27" s="202">
        <f t="shared" si="7"/>
        <v>1.0437483887201873E-3</v>
      </c>
      <c r="I27" s="202">
        <f t="shared" si="8"/>
        <v>1.0159927401061516E-3</v>
      </c>
      <c r="J27" s="80"/>
    </row>
    <row r="28" spans="1:10">
      <c r="A28" s="80"/>
      <c r="G28" s="4"/>
      <c r="H28" s="4"/>
      <c r="I28" s="4"/>
      <c r="J28" s="80"/>
    </row>
    <row r="29" spans="1:10" ht="15.6">
      <c r="A29" s="80"/>
      <c r="C29" s="205" t="s">
        <v>428</v>
      </c>
      <c r="G29" s="4"/>
      <c r="H29" s="4"/>
      <c r="I29" s="4"/>
      <c r="J29" s="80"/>
    </row>
    <row r="30" spans="1:10">
      <c r="A30" s="80"/>
      <c r="C30" s="204" t="s">
        <v>446</v>
      </c>
      <c r="D30" s="122">
        <f>'Balance Sheet'!E32/'Income Statement'!D8</f>
        <v>8.96581012046129E-2</v>
      </c>
      <c r="E30" s="122">
        <f>'Balance Sheet'!F32/'Income Statement'!E8</f>
        <v>9.4586460120927793E-2</v>
      </c>
      <c r="F30" s="122">
        <f>'Balance Sheet'!G32/'Income Statement'!F8</f>
        <v>8.0760885529298304E-2</v>
      </c>
      <c r="G30" s="202">
        <f t="shared" ref="G30:G38" si="10">AVERAGE(D30:F30)</f>
        <v>8.8335148951612985E-2</v>
      </c>
      <c r="H30" s="202">
        <f t="shared" ref="H30:H38" si="11">AVERAGE(E30:G30)</f>
        <v>8.7894164867279689E-2</v>
      </c>
      <c r="I30" s="202">
        <f t="shared" ref="I30:I38" si="12">AVERAGE(F30:H30)</f>
        <v>8.566339978273034E-2</v>
      </c>
      <c r="J30" s="80"/>
    </row>
    <row r="31" spans="1:10">
      <c r="A31" s="80"/>
      <c r="C31" s="204" t="s">
        <v>447</v>
      </c>
      <c r="D31" s="122">
        <f>'Balance Sheet'!E33/'Income Statement'!D8</f>
        <v>4.1494487768681289E-2</v>
      </c>
      <c r="E31" s="122">
        <f>'Balance Sheet'!F33/'Income Statement'!E8</f>
        <v>3.44004791934793E-2</v>
      </c>
      <c r="F31" s="122">
        <f>'Balance Sheet'!G33/'Income Statement'!F8</f>
        <v>4.5163228978783984E-2</v>
      </c>
      <c r="G31" s="202">
        <f t="shared" si="10"/>
        <v>4.0352731980314853E-2</v>
      </c>
      <c r="H31" s="202">
        <f t="shared" si="11"/>
        <v>3.9972146717526046E-2</v>
      </c>
      <c r="I31" s="202">
        <f t="shared" si="12"/>
        <v>4.1829369225541625E-2</v>
      </c>
      <c r="J31" s="80"/>
    </row>
    <row r="32" spans="1:10">
      <c r="A32" s="80"/>
      <c r="C32" s="204" t="s">
        <v>439</v>
      </c>
      <c r="D32" s="122">
        <f>'Balance Sheet'!E34/'Income Statement'!D7</f>
        <v>3.197893486440883E-2</v>
      </c>
      <c r="E32" s="122">
        <f>'Balance Sheet'!F34/'Income Statement'!E7</f>
        <v>3.5767820713937686E-2</v>
      </c>
      <c r="F32" s="122">
        <f>'Balance Sheet'!G34/'Income Statement'!F7</f>
        <v>3.5753210711861182E-2</v>
      </c>
      <c r="G32" s="202">
        <f t="shared" si="10"/>
        <v>3.4499988763402566E-2</v>
      </c>
      <c r="H32" s="202">
        <f t="shared" si="11"/>
        <v>3.534034006306714E-2</v>
      </c>
      <c r="I32" s="202">
        <f t="shared" si="12"/>
        <v>3.5197846512776965E-2</v>
      </c>
      <c r="J32" s="80"/>
    </row>
    <row r="33" spans="1:10">
      <c r="A33" s="80"/>
      <c r="C33" s="204" t="s">
        <v>440</v>
      </c>
      <c r="D33" s="122">
        <f>'Balance Sheet'!E35/'Income Statement'!D7</f>
        <v>2.0467969702095985E-2</v>
      </c>
      <c r="E33" s="122">
        <f>'Balance Sheet'!F35/'Income Statement'!E7</f>
        <v>2.2082226581931867E-2</v>
      </c>
      <c r="F33" s="122">
        <f>'Balance Sheet'!G35/'Income Statement'!F7</f>
        <v>2.4449122253727546E-2</v>
      </c>
      <c r="G33" s="202">
        <f t="shared" si="10"/>
        <v>2.2333106179251799E-2</v>
      </c>
      <c r="H33" s="202">
        <f t="shared" si="11"/>
        <v>2.2954818338303738E-2</v>
      </c>
      <c r="I33" s="202">
        <f t="shared" si="12"/>
        <v>2.324568225709436E-2</v>
      </c>
      <c r="J33" s="80"/>
    </row>
    <row r="34" spans="1:10">
      <c r="A34" s="80"/>
      <c r="C34" s="204" t="s">
        <v>441</v>
      </c>
      <c r="D34" s="122">
        <f>'Balance Sheet'!E36/'Income Statement'!D7</f>
        <v>4.317075573979952E-4</v>
      </c>
      <c r="E34" s="122">
        <f>'Balance Sheet'!F36/'Income Statement'!E7</f>
        <v>0</v>
      </c>
      <c r="F34" s="122">
        <f>'Balance Sheet'!G36/'Income Statement'!F7</f>
        <v>0</v>
      </c>
      <c r="G34" s="202">
        <f t="shared" ref="G34:I34" si="13">F34</f>
        <v>0</v>
      </c>
      <c r="H34" s="202">
        <f t="shared" si="13"/>
        <v>0</v>
      </c>
      <c r="I34" s="202">
        <f t="shared" si="13"/>
        <v>0</v>
      </c>
      <c r="J34" s="80"/>
    </row>
    <row r="35" spans="1:10">
      <c r="A35" s="80"/>
      <c r="C35" s="204" t="s">
        <v>442</v>
      </c>
      <c r="D35" s="122">
        <f>'Balance Sheet'!E37/'Income Statement'!D7</f>
        <v>5.2907962432250377E-3</v>
      </c>
      <c r="E35" s="122">
        <f>'Balance Sheet'!F37/'Income Statement'!E7</f>
        <v>2.324455977269127E-2</v>
      </c>
      <c r="F35" s="122">
        <f>'Balance Sheet'!G37/'Income Statement'!F7</f>
        <v>0</v>
      </c>
      <c r="G35" s="202">
        <f t="shared" ref="G35:I35" si="14">F35</f>
        <v>0</v>
      </c>
      <c r="H35" s="202">
        <f t="shared" si="14"/>
        <v>0</v>
      </c>
      <c r="I35" s="202">
        <f t="shared" si="14"/>
        <v>0</v>
      </c>
      <c r="J35" s="80"/>
    </row>
    <row r="36" spans="1:10">
      <c r="A36" s="80"/>
      <c r="C36" s="204" t="s">
        <v>443</v>
      </c>
      <c r="D36" s="122">
        <f>'Balance Sheet'!E40/'Income Statement'!D7</f>
        <v>2.4225615497736882E-2</v>
      </c>
      <c r="E36" s="122">
        <f>'Balance Sheet'!F40/'Income Statement'!E7</f>
        <v>1.9302335577344752E-2</v>
      </c>
      <c r="F36" s="122">
        <f>'Balance Sheet'!G40/'Income Statement'!F7</f>
        <v>1.9267604637640157E-2</v>
      </c>
      <c r="G36" s="202">
        <f t="shared" si="10"/>
        <v>2.0931851904240597E-2</v>
      </c>
      <c r="H36" s="202">
        <f t="shared" si="11"/>
        <v>1.9833930706408501E-2</v>
      </c>
      <c r="I36" s="202">
        <f t="shared" si="12"/>
        <v>2.0011129082763087E-2</v>
      </c>
      <c r="J36" s="80"/>
    </row>
    <row r="37" spans="1:10">
      <c r="A37" s="80"/>
      <c r="C37" s="204" t="s">
        <v>444</v>
      </c>
      <c r="D37" s="122">
        <f>'Balance Sheet'!E41/'Income Statement'!D7</f>
        <v>9.7280145629134347E-3</v>
      </c>
      <c r="E37" s="122">
        <f>'Balance Sheet'!F41/'Income Statement'!E7</f>
        <v>9.1096022788583701E-3</v>
      </c>
      <c r="F37" s="122">
        <f>'Balance Sheet'!G41/'Income Statement'!F7</f>
        <v>8.4788997112344913E-3</v>
      </c>
      <c r="G37" s="202">
        <f t="shared" si="10"/>
        <v>9.1055055176687671E-3</v>
      </c>
      <c r="H37" s="202">
        <f t="shared" si="11"/>
        <v>8.89800250258721E-3</v>
      </c>
      <c r="I37" s="202">
        <f t="shared" si="12"/>
        <v>8.8274692438301567E-3</v>
      </c>
      <c r="J37" s="80"/>
    </row>
    <row r="38" spans="1:10">
      <c r="A38" s="80"/>
      <c r="C38" s="204" t="s">
        <v>445</v>
      </c>
      <c r="D38" s="122">
        <f>'Balance Sheet'!E42/'Income Statement'!D7</f>
        <v>0.12149044091097552</v>
      </c>
      <c r="E38" s="122">
        <f>'Balance Sheet'!F42/'Income Statement'!E7</f>
        <v>0.13022505139123799</v>
      </c>
      <c r="F38" s="122">
        <f>'Balance Sheet'!G42/'Income Statement'!F7</f>
        <v>0.12457889571106985</v>
      </c>
      <c r="G38" s="202">
        <f t="shared" si="10"/>
        <v>0.12543146267109445</v>
      </c>
      <c r="H38" s="202">
        <f t="shared" si="11"/>
        <v>0.12674513659113409</v>
      </c>
      <c r="I38" s="202">
        <f t="shared" si="12"/>
        <v>0.12558516499109948</v>
      </c>
      <c r="J38" s="80"/>
    </row>
    <row r="39" spans="1:10">
      <c r="A39" s="80"/>
      <c r="G39" s="4"/>
      <c r="H39" s="4"/>
      <c r="I39" s="4"/>
      <c r="J39" s="80"/>
    </row>
    <row r="40" spans="1:10">
      <c r="A40" s="80"/>
      <c r="G40" s="4"/>
      <c r="H40" s="4"/>
      <c r="I40" s="4"/>
      <c r="J40" s="80"/>
    </row>
    <row r="41" spans="1:10">
      <c r="A41" s="80"/>
      <c r="G41" s="4"/>
      <c r="H41" s="4"/>
      <c r="I41" s="4"/>
      <c r="J41" s="80"/>
    </row>
    <row r="42" spans="1:10">
      <c r="A42" s="80"/>
      <c r="G42" s="4"/>
      <c r="H42" s="4"/>
      <c r="I42" s="4"/>
      <c r="J42" s="80"/>
    </row>
    <row r="43" spans="1:10">
      <c r="A43" s="80"/>
      <c r="G43" s="4"/>
      <c r="H43" s="4"/>
      <c r="I43" s="4"/>
      <c r="J43" s="80"/>
    </row>
    <row r="44" spans="1:10">
      <c r="A44" s="80"/>
      <c r="G44" s="4"/>
      <c r="H44" s="4"/>
      <c r="I44" s="4"/>
      <c r="J44" s="80"/>
    </row>
    <row r="45" spans="1:10">
      <c r="A45" s="80"/>
      <c r="G45" s="4"/>
      <c r="H45" s="4"/>
      <c r="I45" s="4"/>
      <c r="J45" s="80"/>
    </row>
    <row r="46" spans="1:10">
      <c r="A46" s="80"/>
      <c r="G46" s="4"/>
      <c r="H46" s="4"/>
      <c r="I46" s="4"/>
      <c r="J46" s="80"/>
    </row>
    <row r="47" spans="1:10">
      <c r="A47" s="80"/>
      <c r="G47" s="4"/>
      <c r="H47" s="4"/>
      <c r="I47" s="4"/>
      <c r="J47" s="80"/>
    </row>
    <row r="48" spans="1:10">
      <c r="A48" s="80"/>
      <c r="G48" s="4"/>
      <c r="H48" s="4"/>
      <c r="I48" s="4"/>
      <c r="J48" s="80"/>
    </row>
    <row r="49" spans="1:10">
      <c r="A49" s="80"/>
      <c r="G49" s="4"/>
      <c r="H49" s="4"/>
      <c r="I49" s="4"/>
      <c r="J49" s="80"/>
    </row>
    <row r="50" spans="1:10">
      <c r="A50" s="80"/>
      <c r="G50" s="4"/>
      <c r="H50" s="4"/>
      <c r="I50" s="4"/>
      <c r="J50" s="80"/>
    </row>
    <row r="51" spans="1:10">
      <c r="A51" s="80"/>
      <c r="G51" s="4"/>
      <c r="H51" s="4"/>
      <c r="I51" s="4"/>
      <c r="J51" s="80"/>
    </row>
    <row r="52" spans="1:10">
      <c r="A52" s="80"/>
      <c r="G52" s="4"/>
      <c r="H52" s="4"/>
      <c r="I52" s="4"/>
      <c r="J52" s="80"/>
    </row>
    <row r="53" spans="1:10">
      <c r="A53" s="80"/>
      <c r="G53" s="4"/>
      <c r="H53" s="4"/>
      <c r="I53" s="4"/>
      <c r="J53" s="80"/>
    </row>
    <row r="54" spans="1:10">
      <c r="A54" s="80"/>
      <c r="G54" s="4"/>
      <c r="H54" s="4"/>
      <c r="I54" s="4"/>
      <c r="J54" s="80"/>
    </row>
    <row r="55" spans="1:10">
      <c r="A55" s="80"/>
      <c r="G55" s="4"/>
      <c r="H55" s="4"/>
      <c r="I55" s="4"/>
      <c r="J55" s="80"/>
    </row>
    <row r="56" spans="1:10">
      <c r="A56" s="80"/>
      <c r="G56" s="4"/>
      <c r="H56" s="4"/>
      <c r="I56" s="4"/>
      <c r="J56" s="80"/>
    </row>
    <row r="57" spans="1:10">
      <c r="A57" s="80"/>
      <c r="G57" s="4"/>
      <c r="H57" s="4"/>
      <c r="I57" s="4"/>
      <c r="J57" s="80"/>
    </row>
    <row r="58" spans="1:10">
      <c r="A58" s="80"/>
      <c r="G58" s="4"/>
      <c r="H58" s="4"/>
      <c r="I58" s="4"/>
      <c r="J58" s="80"/>
    </row>
    <row r="59" spans="1:10">
      <c r="A59" s="80"/>
      <c r="G59" s="4"/>
      <c r="H59" s="4"/>
      <c r="I59" s="4"/>
      <c r="J59" s="80"/>
    </row>
    <row r="60" spans="1:10">
      <c r="A60" s="80"/>
      <c r="G60" s="4"/>
      <c r="H60" s="4"/>
      <c r="I60" s="4"/>
      <c r="J60" s="80"/>
    </row>
    <row r="61" spans="1:10">
      <c r="A61" s="80"/>
      <c r="G61" s="4"/>
      <c r="H61" s="4"/>
      <c r="I61" s="4"/>
      <c r="J61" s="80"/>
    </row>
    <row r="62" spans="1:10">
      <c r="A62" s="80"/>
      <c r="G62" s="4"/>
      <c r="H62" s="4"/>
      <c r="I62" s="4"/>
      <c r="J62" s="80"/>
    </row>
    <row r="63" spans="1:10">
      <c r="A63" s="80"/>
      <c r="G63" s="4"/>
      <c r="H63" s="4"/>
      <c r="I63" s="4"/>
      <c r="J63" s="80"/>
    </row>
    <row r="64" spans="1:10">
      <c r="A64" s="80"/>
      <c r="G64" s="4"/>
      <c r="H64" s="4"/>
      <c r="I64" s="4"/>
      <c r="J64" s="80"/>
    </row>
    <row r="65" spans="1:10">
      <c r="A65" s="80"/>
      <c r="G65" s="4"/>
      <c r="H65" s="4"/>
      <c r="I65" s="4"/>
      <c r="J65" s="80"/>
    </row>
    <row r="66" spans="1:10">
      <c r="A66" s="80"/>
      <c r="G66" s="4"/>
      <c r="H66" s="4"/>
      <c r="I66" s="4"/>
      <c r="J66" s="80"/>
    </row>
    <row r="67" spans="1:10">
      <c r="A67" s="80"/>
      <c r="G67" s="4"/>
      <c r="H67" s="4"/>
      <c r="I67" s="4"/>
      <c r="J67" s="80"/>
    </row>
    <row r="68" spans="1:10">
      <c r="A68" s="80"/>
      <c r="G68" s="4"/>
      <c r="H68" s="4"/>
      <c r="I68" s="4"/>
      <c r="J68" s="80"/>
    </row>
    <row r="69" spans="1:10">
      <c r="A69" s="80"/>
      <c r="G69" s="4"/>
      <c r="H69" s="4"/>
      <c r="I69" s="4"/>
      <c r="J69" s="80"/>
    </row>
    <row r="70" spans="1:10">
      <c r="A70" s="80"/>
      <c r="G70" s="4"/>
      <c r="H70" s="4"/>
      <c r="I70" s="4"/>
      <c r="J70" s="80"/>
    </row>
    <row r="71" spans="1:10">
      <c r="A71" s="80"/>
      <c r="G71" s="4"/>
      <c r="H71" s="4"/>
      <c r="I71" s="4"/>
      <c r="J71" s="80"/>
    </row>
    <row r="72" spans="1:10">
      <c r="A72" s="80"/>
      <c r="G72" s="4"/>
      <c r="H72" s="4"/>
      <c r="I72" s="4"/>
      <c r="J72" s="80"/>
    </row>
    <row r="73" spans="1:10">
      <c r="A73" s="80"/>
      <c r="G73" s="4"/>
      <c r="H73" s="4"/>
      <c r="I73" s="4"/>
      <c r="J73" s="80"/>
    </row>
    <row r="74" spans="1:10">
      <c r="A74" s="80"/>
      <c r="G74" s="4"/>
      <c r="H74" s="4"/>
      <c r="I74" s="4"/>
      <c r="J74" s="80"/>
    </row>
    <row r="75" spans="1:10">
      <c r="A75" s="80"/>
      <c r="G75" s="4"/>
      <c r="H75" s="4"/>
      <c r="I75" s="4"/>
      <c r="J75" s="80"/>
    </row>
    <row r="76" spans="1:10">
      <c r="A76" s="80"/>
      <c r="G76" s="4"/>
      <c r="H76" s="4"/>
      <c r="I76" s="4"/>
      <c r="J76" s="80"/>
    </row>
    <row r="77" spans="1:10">
      <c r="A77" s="80"/>
      <c r="G77" s="4"/>
      <c r="H77" s="4"/>
      <c r="I77" s="4"/>
      <c r="J77" s="80"/>
    </row>
    <row r="78" spans="1:10">
      <c r="A78" s="80"/>
      <c r="G78" s="4"/>
      <c r="H78" s="4"/>
      <c r="I78" s="4"/>
      <c r="J78" s="80"/>
    </row>
    <row r="79" spans="1:10">
      <c r="A79" s="80"/>
      <c r="G79" s="4"/>
      <c r="H79" s="4"/>
      <c r="I79" s="4"/>
      <c r="J79" s="80"/>
    </row>
    <row r="80" spans="1:10">
      <c r="A80" s="80"/>
      <c r="G80" s="4"/>
      <c r="H80" s="4"/>
      <c r="I80" s="4"/>
      <c r="J80" s="80"/>
    </row>
    <row r="81" spans="1:10">
      <c r="A81" s="80"/>
      <c r="G81" s="4"/>
      <c r="H81" s="4"/>
      <c r="I81" s="4"/>
      <c r="J81" s="80"/>
    </row>
    <row r="82" spans="1:10">
      <c r="A82" s="80"/>
      <c r="G82" s="4"/>
      <c r="H82" s="4"/>
      <c r="I82" s="4"/>
      <c r="J82" s="80"/>
    </row>
    <row r="83" spans="1:10">
      <c r="A83" s="80"/>
      <c r="G83" s="4"/>
      <c r="H83" s="4"/>
      <c r="I83" s="4"/>
      <c r="J83" s="80"/>
    </row>
    <row r="84" spans="1:10">
      <c r="A84" s="80"/>
      <c r="G84" s="4"/>
      <c r="H84" s="4"/>
      <c r="I84" s="4"/>
      <c r="J84" s="80"/>
    </row>
    <row r="85" spans="1:10">
      <c r="A85" s="80"/>
      <c r="G85" s="4"/>
      <c r="H85" s="4"/>
      <c r="I85" s="4"/>
      <c r="J85" s="80"/>
    </row>
    <row r="86" spans="1:10">
      <c r="A86" s="80"/>
      <c r="G86" s="4"/>
      <c r="H86" s="4"/>
      <c r="I86" s="4"/>
      <c r="J86" s="80"/>
    </row>
    <row r="87" spans="1:10">
      <c r="A87" s="80"/>
      <c r="G87" s="4"/>
      <c r="H87" s="4"/>
      <c r="I87" s="4"/>
      <c r="J87" s="80"/>
    </row>
    <row r="88" spans="1:10">
      <c r="A88" s="80"/>
      <c r="G88" s="4"/>
      <c r="H88" s="4"/>
      <c r="I88" s="4"/>
      <c r="J88" s="80"/>
    </row>
    <row r="89" spans="1:10">
      <c r="A89" s="80"/>
      <c r="G89" s="4"/>
      <c r="H89" s="4"/>
      <c r="I89" s="4"/>
      <c r="J89" s="80"/>
    </row>
    <row r="90" spans="1:10">
      <c r="A90" s="80"/>
      <c r="G90" s="4"/>
      <c r="H90" s="4"/>
      <c r="I90" s="4"/>
      <c r="J90" s="80"/>
    </row>
    <row r="91" spans="1:10">
      <c r="A91" s="80"/>
      <c r="G91" s="4"/>
      <c r="H91" s="4"/>
      <c r="I91" s="4"/>
      <c r="J91" s="80"/>
    </row>
    <row r="92" spans="1:10">
      <c r="A92" s="80"/>
      <c r="G92" s="4"/>
      <c r="H92" s="4"/>
      <c r="I92" s="4"/>
      <c r="J92" s="80"/>
    </row>
    <row r="93" spans="1:10">
      <c r="A93" s="80"/>
      <c r="G93" s="4"/>
      <c r="H93" s="4"/>
      <c r="I93" s="4"/>
      <c r="J93" s="80"/>
    </row>
    <row r="94" spans="1:10">
      <c r="A94" s="80"/>
      <c r="G94" s="4"/>
      <c r="H94" s="4"/>
      <c r="I94" s="4"/>
      <c r="J94" s="80"/>
    </row>
    <row r="95" spans="1:10">
      <c r="A95" s="80"/>
      <c r="G95" s="4"/>
      <c r="H95" s="4"/>
      <c r="I95" s="4"/>
      <c r="J95" s="80"/>
    </row>
    <row r="96" spans="1:10">
      <c r="A96" s="80"/>
      <c r="G96" s="4"/>
      <c r="H96" s="4"/>
      <c r="I96" s="4"/>
      <c r="J96" s="80"/>
    </row>
    <row r="97" spans="1:10">
      <c r="A97" s="80"/>
      <c r="G97" s="4"/>
      <c r="H97" s="4"/>
      <c r="I97" s="4"/>
      <c r="J97" s="80"/>
    </row>
    <row r="98" spans="1:10">
      <c r="A98" s="80"/>
      <c r="G98" s="4"/>
      <c r="H98" s="4"/>
      <c r="I98" s="4"/>
      <c r="J98" s="80"/>
    </row>
    <row r="99" spans="1:10">
      <c r="A99" s="80"/>
      <c r="G99" s="4"/>
      <c r="H99" s="4"/>
      <c r="I99" s="4"/>
      <c r="J99" s="80"/>
    </row>
    <row r="100" spans="1:10">
      <c r="A100" s="80"/>
      <c r="B100" s="80"/>
      <c r="C100" s="80"/>
      <c r="D100" s="80"/>
      <c r="E100" s="80"/>
      <c r="F100" s="80"/>
      <c r="G100" s="80"/>
      <c r="H100" s="80"/>
      <c r="I100" s="80"/>
      <c r="J100" s="80"/>
    </row>
  </sheetData>
  <mergeCells count="5">
    <mergeCell ref="B2:C2"/>
    <mergeCell ref="B3:C3"/>
    <mergeCell ref="D3:F3"/>
    <mergeCell ref="G3:I3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4</vt:i4>
      </vt:variant>
    </vt:vector>
  </HeadingPairs>
  <TitlesOfParts>
    <vt:vector size="24" baseType="lpstr">
      <vt:lpstr>Dashboard</vt:lpstr>
      <vt:lpstr>Income Statement</vt:lpstr>
      <vt:lpstr>Sheet3</vt:lpstr>
      <vt:lpstr>Balance Sheet</vt:lpstr>
      <vt:lpstr>Cash Flow Statement</vt:lpstr>
      <vt:lpstr>FAM</vt:lpstr>
      <vt:lpstr>Equity Shares</vt:lpstr>
      <vt:lpstr>DRS</vt:lpstr>
      <vt:lpstr>Revenue Driver</vt:lpstr>
      <vt:lpstr>Sheet1</vt:lpstr>
      <vt:lpstr>BETA</vt:lpstr>
      <vt:lpstr>Working Capital</vt:lpstr>
      <vt:lpstr>WACC</vt:lpstr>
      <vt:lpstr>Ratios</vt:lpstr>
      <vt:lpstr>Sheet2</vt:lpstr>
      <vt:lpstr>Dupont Analysis</vt:lpstr>
      <vt:lpstr>DCF</vt:lpstr>
      <vt:lpstr>RV</vt:lpstr>
      <vt:lpstr>Cost Driver</vt:lpstr>
      <vt:lpstr>Assumptions</vt:lpstr>
      <vt:lpstr>Company_name</vt:lpstr>
      <vt:lpstr>currency</vt:lpstr>
      <vt:lpstr>LHY</vt:lpstr>
      <vt:lpstr>ticker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</dc:creator>
  <cp:lastModifiedBy>Vaibhav Vashist</cp:lastModifiedBy>
  <cp:lastPrinted>2025-07-28T15:20:35Z</cp:lastPrinted>
  <dcterms:created xsi:type="dcterms:W3CDTF">2015-06-05T18:17:20Z</dcterms:created>
  <dcterms:modified xsi:type="dcterms:W3CDTF">2026-02-03T13:13:27Z</dcterms:modified>
</cp:coreProperties>
</file>